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90099c_curtin_edu_au/Documents/Documents/Android Meus Documentos/PhD/THIRD PAPER - JDIQ/"/>
    </mc:Choice>
  </mc:AlternateContent>
  <xr:revisionPtr revIDLastSave="0" documentId="8_{5B6B665A-D125-4EFE-8967-022B97D5DFB7}" xr6:coauthVersionLast="47" xr6:coauthVersionMax="47" xr10:uidLastSave="{00000000-0000-0000-0000-000000000000}"/>
  <bookViews>
    <workbookView xWindow="28680" yWindow="-6195" windowWidth="29040" windowHeight="15840" tabRatio="953" xr2:uid="{00000000-000D-0000-FFFF-FFFF00000000}"/>
  </bookViews>
  <sheets>
    <sheet name="GlobalSummary" sheetId="1" r:id="rId1"/>
    <sheet name="FinalFormatDistribution" sheetId="2" r:id="rId2"/>
    <sheet name="ProblemsByFinalFormat" sheetId="3" r:id="rId3"/>
    <sheet name="ProblemsByFinalFormatOrdered" sheetId="12" r:id="rId4"/>
    <sheet name="FormatTransitions" sheetId="4" r:id="rId5"/>
    <sheet name="KeywordSuggestions" sheetId="5" r:id="rId6"/>
    <sheet name="AbbrevGlobal" sheetId="6" r:id="rId7"/>
    <sheet name="AbbrevByArea" sheetId="7" r:id="rId8"/>
    <sheet name="ProblemsByArea" sheetId="8" r:id="rId9"/>
    <sheet name="NotesSummary" sheetId="9" r:id="rId10"/>
    <sheet name="NotesByFinalFormat" sheetId="10" r:id="rId11"/>
    <sheet name="NotesByArea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7" l="1"/>
  <c r="D20" i="7" s="1"/>
  <c r="B20" i="7"/>
  <c r="D4" i="6"/>
  <c r="B4" i="6"/>
  <c r="C3" i="6" s="1"/>
  <c r="E4" i="6" l="1"/>
  <c r="C2" i="6"/>
  <c r="C4" i="6"/>
  <c r="D20" i="8"/>
  <c r="C20" i="8"/>
  <c r="B20" i="8"/>
  <c r="C48" i="4" l="1"/>
  <c r="C88" i="5"/>
  <c r="D41" i="3"/>
  <c r="C41" i="3"/>
  <c r="B41" i="3"/>
  <c r="C41" i="2"/>
  <c r="B41" i="2"/>
</calcChain>
</file>

<file path=xl/sharedStrings.xml><?xml version="1.0" encoding="utf-8"?>
<sst xmlns="http://schemas.openxmlformats.org/spreadsheetml/2006/main" count="529" uniqueCount="209">
  <si>
    <t>metric</t>
  </si>
  <si>
    <t>value</t>
  </si>
  <si>
    <t>rows_total</t>
  </si>
  <si>
    <t>columns_total</t>
  </si>
  <si>
    <t>approves_true</t>
  </si>
  <si>
    <t>approves_true_rate</t>
  </si>
  <si>
    <t>approves_false</t>
  </si>
  <si>
    <t>approves_false_rate</t>
  </si>
  <si>
    <t>no_FinalFormat_found</t>
  </si>
  <si>
    <t>count</t>
  </si>
  <si>
    <t>proportion</t>
  </si>
  <si>
    <t>wrong_abbrev_true</t>
  </si>
  <si>
    <t>wrong_abbrev_rate</t>
  </si>
  <si>
    <t>FinalFormat</t>
  </si>
  <si>
    <t>numerical&gt;=0</t>
  </si>
  <si>
    <t>categorical</t>
  </si>
  <si>
    <t>numerical</t>
  </si>
  <si>
    <t>string</t>
  </si>
  <si>
    <t>name</t>
  </si>
  <si>
    <t>percentage</t>
  </si>
  <si>
    <t>binary</t>
  </si>
  <si>
    <t>IDcolumn</t>
  </si>
  <si>
    <t>date</t>
  </si>
  <si>
    <t>money</t>
  </si>
  <si>
    <t>year</t>
  </si>
  <si>
    <t>time</t>
  </si>
  <si>
    <t>city</t>
  </si>
  <si>
    <t>heartrate</t>
  </si>
  <si>
    <t>bloodpressure</t>
  </si>
  <si>
    <t>country</t>
  </si>
  <si>
    <t>URLformat</t>
  </si>
  <si>
    <t>state</t>
  </si>
  <si>
    <t>IPformat</t>
  </si>
  <si>
    <t>street</t>
  </si>
  <si>
    <t>age</t>
  </si>
  <si>
    <t>month</t>
  </si>
  <si>
    <t>E-mailformat</t>
  </si>
  <si>
    <t>day</t>
  </si>
  <si>
    <t>longitude</t>
  </si>
  <si>
    <t>hour</t>
  </si>
  <si>
    <t>phone</t>
  </si>
  <si>
    <t>weekday</t>
  </si>
  <si>
    <t>week</t>
  </si>
  <si>
    <t>latitude</t>
  </si>
  <si>
    <t>datetime</t>
  </si>
  <si>
    <t>acidity</t>
  </si>
  <si>
    <t>saltness</t>
  </si>
  <si>
    <t>postalcode</t>
  </si>
  <si>
    <t>ph</t>
  </si>
  <si>
    <t>normalized</t>
  </si>
  <si>
    <t>angle</t>
  </si>
  <si>
    <t>alkalinity</t>
  </si>
  <si>
    <t>modelname</t>
  </si>
  <si>
    <t>total</t>
  </si>
  <si>
    <t>problems</t>
  </si>
  <si>
    <t>problem_rate</t>
  </si>
  <si>
    <t>GPT_suggested_correct_format</t>
  </si>
  <si>
    <t>IPaddress</t>
  </si>
  <si>
    <t>SourceKeyword</t>
  </si>
  <si>
    <t>GPT_suggested_correct_keyword</t>
  </si>
  <si>
    <t>heart rate</t>
  </si>
  <si>
    <t>home runs</t>
  </si>
  <si>
    <t>internet protocol</t>
  </si>
  <si>
    <t>IP</t>
  </si>
  <si>
    <t>sales</t>
  </si>
  <si>
    <t>person</t>
  </si>
  <si>
    <t>soil</t>
  </si>
  <si>
    <t>serial number</t>
  </si>
  <si>
    <t>area</t>
  </si>
  <si>
    <t>rain</t>
  </si>
  <si>
    <t>unique key</t>
  </si>
  <si>
    <t>UK</t>
  </si>
  <si>
    <t>throws</t>
  </si>
  <si>
    <t>square</t>
  </si>
  <si>
    <t>direction</t>
  </si>
  <si>
    <t>bilirubin</t>
  </si>
  <si>
    <t>completions</t>
  </si>
  <si>
    <t>accepted</t>
  </si>
  <si>
    <t>height</t>
  </si>
  <si>
    <t>production</t>
  </si>
  <si>
    <t>code</t>
  </si>
  <si>
    <t>posted</t>
  </si>
  <si>
    <t>points</t>
  </si>
  <si>
    <t>gflops</t>
  </si>
  <si>
    <t>rating</t>
  </si>
  <si>
    <t>accuracy</t>
  </si>
  <si>
    <t>open_acc</t>
  </si>
  <si>
    <t>organization</t>
  </si>
  <si>
    <t>ISO</t>
  </si>
  <si>
    <t>region</t>
  </si>
  <si>
    <t>registration</t>
  </si>
  <si>
    <t>open</t>
  </si>
  <si>
    <t>sp500 open</t>
  </si>
  <si>
    <t>losses</t>
  </si>
  <si>
    <t>memory</t>
  </si>
  <si>
    <t>family members</t>
  </si>
  <si>
    <t>make</t>
  </si>
  <si>
    <t>freedom</t>
  </si>
  <si>
    <t>price</t>
  </si>
  <si>
    <t>cadmium concentration</t>
  </si>
  <si>
    <t>is</t>
  </si>
  <si>
    <t>or not</t>
  </si>
  <si>
    <t>number transcribed</t>
  </si>
  <si>
    <t>SL</t>
  </si>
  <si>
    <t>road</t>
  </si>
  <si>
    <t>screen</t>
  </si>
  <si>
    <t>w</t>
  </si>
  <si>
    <t>rtot</t>
  </si>
  <si>
    <t>range</t>
  </si>
  <si>
    <t>WKU</t>
  </si>
  <si>
    <t>television</t>
  </si>
  <si>
    <t>tv</t>
  </si>
  <si>
    <t>title</t>
  </si>
  <si>
    <t>stroke</t>
  </si>
  <si>
    <t>strikeout</t>
  </si>
  <si>
    <t>power</t>
  </si>
  <si>
    <t>stops</t>
  </si>
  <si>
    <t>pitstops</t>
  </si>
  <si>
    <t>status</t>
  </si>
  <si>
    <t>StatusBarCust</t>
  </si>
  <si>
    <t>states</t>
  </si>
  <si>
    <t>square foot</t>
  </si>
  <si>
    <t>dollar</t>
  </si>
  <si>
    <t>special</t>
  </si>
  <si>
    <t>changes</t>
  </si>
  <si>
    <t>sl</t>
  </si>
  <si>
    <t>shares</t>
  </si>
  <si>
    <t>category</t>
  </si>
  <si>
    <t>iodine</t>
  </si>
  <si>
    <t>interception</t>
  </si>
  <si>
    <t>international relations</t>
  </si>
  <si>
    <t>interest</t>
  </si>
  <si>
    <t>address</t>
  </si>
  <si>
    <t>ip</t>
  </si>
  <si>
    <t>tilt</t>
  </si>
  <si>
    <t>temperature</t>
  </si>
  <si>
    <t>difference</t>
  </si>
  <si>
    <t>current</t>
  </si>
  <si>
    <t>liability</t>
  </si>
  <si>
    <t>co2 emissions</t>
  </si>
  <si>
    <t>confirmed</t>
  </si>
  <si>
    <t>payment</t>
  </si>
  <si>
    <t>chest pain</t>
  </si>
  <si>
    <t>cp</t>
  </si>
  <si>
    <t>CP6</t>
  </si>
  <si>
    <t>cellular phone</t>
  </si>
  <si>
    <t>phone_count</t>
  </si>
  <si>
    <t>carbon oxide</t>
  </si>
  <si>
    <t>company</t>
  </si>
  <si>
    <t>co-stars</t>
  </si>
  <si>
    <t>birth</t>
  </si>
  <si>
    <t>birthplace</t>
  </si>
  <si>
    <t>birth location</t>
  </si>
  <si>
    <t>bike</t>
  </si>
  <si>
    <t>bk</t>
  </si>
  <si>
    <t>basement</t>
  </si>
  <si>
    <t>attendance</t>
  </si>
  <si>
    <t>specialization</t>
  </si>
  <si>
    <t>domain</t>
  </si>
  <si>
    <t>email</t>
  </si>
  <si>
    <t>clicks</t>
  </si>
  <si>
    <t>end</t>
  </si>
  <si>
    <t>position</t>
  </si>
  <si>
    <t>games</t>
  </si>
  <si>
    <t>disk gigabytes</t>
  </si>
  <si>
    <t>interior colour</t>
  </si>
  <si>
    <t>inning</t>
  </si>
  <si>
    <t>pin</t>
  </si>
  <si>
    <t>hits</t>
  </si>
  <si>
    <t>yellow cards</t>
  </si>
  <si>
    <t>hold time</t>
  </si>
  <si>
    <t>1h low</t>
  </si>
  <si>
    <t>1h close</t>
  </si>
  <si>
    <t>gini</t>
  </si>
  <si>
    <t>fund</t>
  </si>
  <si>
    <t>FN</t>
  </si>
  <si>
    <t>errors</t>
  </si>
  <si>
    <t>administrator</t>
  </si>
  <si>
    <t>finish</t>
  </si>
  <si>
    <t>euro</t>
  </si>
  <si>
    <t>size</t>
  </si>
  <si>
    <t>vitamin e</t>
  </si>
  <si>
    <t>price earnings ratio</t>
  </si>
  <si>
    <t>yes</t>
  </si>
  <si>
    <t>reminder</t>
  </si>
  <si>
    <t>abbrev_used</t>
  </si>
  <si>
    <t>wrong_abbrev</t>
  </si>
  <si>
    <t>Agriculture</t>
  </si>
  <si>
    <t>Education</t>
  </si>
  <si>
    <t>Entertainment</t>
  </si>
  <si>
    <t>Finance</t>
  </si>
  <si>
    <t>Government</t>
  </si>
  <si>
    <t>Health</t>
  </si>
  <si>
    <t>Industry</t>
  </si>
  <si>
    <t>International</t>
  </si>
  <si>
    <t>Logistics</t>
  </si>
  <si>
    <t>Media</t>
  </si>
  <si>
    <t>Other</t>
  </si>
  <si>
    <t>Retail</t>
  </si>
  <si>
    <t>Sato-Viznet</t>
  </si>
  <si>
    <t>Science</t>
  </si>
  <si>
    <t>Sports</t>
  </si>
  <si>
    <t>Technology</t>
  </si>
  <si>
    <t>Transport</t>
  </si>
  <si>
    <t>Weather</t>
  </si>
  <si>
    <t>rows_with_notes</t>
  </si>
  <si>
    <t>notes_coverage_rate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</si>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</sst>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9" fontId="1" fillId="0" borderId="1" xfId="1" applyFont="1" applyBorder="1" applyAlignment="1">
      <alignment horizontal="center" vertical="top"/>
    </xf>
    <xf numFmtId="164" fontId="0" fillId="0" borderId="0" xfId="1" applyNumberFormat="1" applyFont="1"/>
    <xf numFmtId="0" fontId="3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27" sqref="E27"/>
    </sheetView>
  </sheetViews>
  <sheetFormatPr defaultRowHeight="14.5" x14ac:dyDescent="0.35"/>
  <cols>
    <col min="1" max="1" width="20.54296875" bestFit="1" customWidth="1"/>
    <col min="2" max="2" width="10.81640625" bestFit="1" customWidth="1"/>
    <col min="3" max="3" width="10.08984375" bestFit="1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t="s">
        <v>2</v>
      </c>
      <c r="B2">
        <v>2295</v>
      </c>
    </row>
    <row r="3" spans="1:3" x14ac:dyDescent="0.35">
      <c r="A3" t="s">
        <v>3</v>
      </c>
      <c r="B3">
        <v>31</v>
      </c>
    </row>
    <row r="4" spans="1:3" x14ac:dyDescent="0.35">
      <c r="A4" t="s">
        <v>4</v>
      </c>
      <c r="B4">
        <v>2164</v>
      </c>
    </row>
    <row r="5" spans="1:3" x14ac:dyDescent="0.35">
      <c r="A5" t="s">
        <v>5</v>
      </c>
      <c r="B5">
        <v>0.94291938997821356</v>
      </c>
    </row>
    <row r="6" spans="1:3" x14ac:dyDescent="0.35">
      <c r="A6" t="s">
        <v>6</v>
      </c>
      <c r="B6">
        <v>131</v>
      </c>
    </row>
    <row r="7" spans="1:3" x14ac:dyDescent="0.35">
      <c r="A7" t="s">
        <v>7</v>
      </c>
      <c r="B7">
        <v>5.7080610021786493E-2</v>
      </c>
    </row>
    <row r="9" spans="1:3" x14ac:dyDescent="0.35">
      <c r="A9" s="1" t="s">
        <v>8</v>
      </c>
      <c r="B9" s="1" t="s">
        <v>9</v>
      </c>
      <c r="C9" s="1" t="s">
        <v>10</v>
      </c>
    </row>
    <row r="10" spans="1:3" x14ac:dyDescent="0.35">
      <c r="A10" t="b">
        <v>0</v>
      </c>
      <c r="B10">
        <v>2295</v>
      </c>
      <c r="C10">
        <v>1</v>
      </c>
    </row>
    <row r="13" spans="1:3" x14ac:dyDescent="0.35">
      <c r="A13" s="1" t="s">
        <v>0</v>
      </c>
      <c r="B13" s="1" t="s">
        <v>1</v>
      </c>
    </row>
    <row r="14" spans="1:3" x14ac:dyDescent="0.35">
      <c r="A14" t="s">
        <v>11</v>
      </c>
      <c r="B14">
        <v>133</v>
      </c>
    </row>
    <row r="15" spans="1:3" x14ac:dyDescent="0.35">
      <c r="A15" t="s">
        <v>12</v>
      </c>
      <c r="B15">
        <v>5.7952069716775599E-2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 activeCell="F39" sqref="F39"/>
    </sheetView>
  </sheetViews>
  <sheetFormatPr defaultRowHeight="14.5" x14ac:dyDescent="0.35"/>
  <cols>
    <col min="1" max="1" width="13.36328125" bestFit="1" customWidth="1"/>
    <col min="2" max="2" width="5.7265625" bestFit="1" customWidth="1"/>
    <col min="3" max="3" width="11.81640625" bestFit="1" customWidth="1"/>
  </cols>
  <sheetData>
    <row r="1" spans="1:3" x14ac:dyDescent="0.35">
      <c r="A1" s="1" t="s">
        <v>13</v>
      </c>
      <c r="B1" s="1" t="s">
        <v>9</v>
      </c>
      <c r="C1" s="1" t="s">
        <v>10</v>
      </c>
    </row>
    <row r="2" spans="1:3" x14ac:dyDescent="0.35">
      <c r="A2" t="s">
        <v>14</v>
      </c>
      <c r="B2">
        <v>719</v>
      </c>
      <c r="C2">
        <v>0.31328976034858391</v>
      </c>
    </row>
    <row r="3" spans="1:3" x14ac:dyDescent="0.35">
      <c r="A3" t="s">
        <v>15</v>
      </c>
      <c r="B3">
        <v>425</v>
      </c>
      <c r="C3">
        <v>0.1851851851851852</v>
      </c>
    </row>
    <row r="4" spans="1:3" x14ac:dyDescent="0.35">
      <c r="A4" t="s">
        <v>16</v>
      </c>
      <c r="B4">
        <v>339</v>
      </c>
      <c r="C4">
        <v>0.1477124183006536</v>
      </c>
    </row>
    <row r="5" spans="1:3" x14ac:dyDescent="0.35">
      <c r="A5" t="s">
        <v>17</v>
      </c>
      <c r="B5">
        <v>168</v>
      </c>
      <c r="C5">
        <v>7.3202614379084971E-2</v>
      </c>
    </row>
    <row r="6" spans="1:3" x14ac:dyDescent="0.35">
      <c r="A6" t="s">
        <v>18</v>
      </c>
      <c r="B6">
        <v>107</v>
      </c>
      <c r="C6">
        <v>4.6623093681917208E-2</v>
      </c>
    </row>
    <row r="7" spans="1:3" x14ac:dyDescent="0.35">
      <c r="A7" t="s">
        <v>19</v>
      </c>
      <c r="B7">
        <v>94</v>
      </c>
      <c r="C7">
        <v>4.0958605664488022E-2</v>
      </c>
    </row>
    <row r="8" spans="1:3" x14ac:dyDescent="0.35">
      <c r="A8" t="s">
        <v>20</v>
      </c>
      <c r="B8">
        <v>87</v>
      </c>
      <c r="C8">
        <v>3.7908496732026141E-2</v>
      </c>
    </row>
    <row r="9" spans="1:3" x14ac:dyDescent="0.35">
      <c r="A9" t="s">
        <v>21</v>
      </c>
      <c r="B9">
        <v>73</v>
      </c>
      <c r="C9">
        <v>3.1808278867102399E-2</v>
      </c>
    </row>
    <row r="10" spans="1:3" x14ac:dyDescent="0.35">
      <c r="A10" t="s">
        <v>22</v>
      </c>
      <c r="B10">
        <v>58</v>
      </c>
      <c r="C10">
        <v>2.5272331154684101E-2</v>
      </c>
    </row>
    <row r="11" spans="1:3" x14ac:dyDescent="0.35">
      <c r="A11" t="s">
        <v>23</v>
      </c>
      <c r="B11">
        <v>54</v>
      </c>
      <c r="C11">
        <v>2.3529411764705879E-2</v>
      </c>
    </row>
    <row r="12" spans="1:3" x14ac:dyDescent="0.35">
      <c r="A12" t="s">
        <v>24</v>
      </c>
      <c r="B12">
        <v>26</v>
      </c>
      <c r="C12">
        <v>1.132897603485839E-2</v>
      </c>
    </row>
    <row r="13" spans="1:3" x14ac:dyDescent="0.35">
      <c r="A13" t="s">
        <v>25</v>
      </c>
      <c r="B13">
        <v>24</v>
      </c>
      <c r="C13">
        <v>1.045751633986928E-2</v>
      </c>
    </row>
    <row r="14" spans="1:3" x14ac:dyDescent="0.35">
      <c r="A14" t="s">
        <v>26</v>
      </c>
      <c r="B14">
        <v>14</v>
      </c>
      <c r="C14">
        <v>6.100217864923747E-3</v>
      </c>
    </row>
    <row r="15" spans="1:3" x14ac:dyDescent="0.35">
      <c r="A15" t="s">
        <v>27</v>
      </c>
      <c r="B15">
        <v>13</v>
      </c>
      <c r="C15">
        <v>5.664488017429194E-3</v>
      </c>
    </row>
    <row r="16" spans="1:3" x14ac:dyDescent="0.35">
      <c r="A16" t="s">
        <v>28</v>
      </c>
      <c r="B16">
        <v>11</v>
      </c>
      <c r="C16">
        <v>4.7930283224400872E-3</v>
      </c>
    </row>
    <row r="17" spans="1:3" x14ac:dyDescent="0.35">
      <c r="A17" t="s">
        <v>29</v>
      </c>
      <c r="B17">
        <v>10</v>
      </c>
      <c r="C17">
        <v>4.3572984749455342E-3</v>
      </c>
    </row>
    <row r="18" spans="1:3" x14ac:dyDescent="0.35">
      <c r="A18" t="s">
        <v>30</v>
      </c>
      <c r="B18">
        <v>9</v>
      </c>
      <c r="C18">
        <v>3.9215686274509803E-3</v>
      </c>
    </row>
    <row r="19" spans="1:3" x14ac:dyDescent="0.35">
      <c r="A19" t="s">
        <v>31</v>
      </c>
      <c r="B19">
        <v>6</v>
      </c>
      <c r="C19">
        <v>2.6143790849673201E-3</v>
      </c>
    </row>
    <row r="20" spans="1:3" x14ac:dyDescent="0.35">
      <c r="A20" t="s">
        <v>32</v>
      </c>
      <c r="B20">
        <v>6</v>
      </c>
      <c r="C20">
        <v>2.6143790849673201E-3</v>
      </c>
    </row>
    <row r="21" spans="1:3" x14ac:dyDescent="0.35">
      <c r="A21" t="s">
        <v>33</v>
      </c>
      <c r="B21">
        <v>6</v>
      </c>
      <c r="C21">
        <v>2.6143790849673201E-3</v>
      </c>
    </row>
    <row r="22" spans="1:3" x14ac:dyDescent="0.35">
      <c r="A22" t="s">
        <v>34</v>
      </c>
      <c r="B22">
        <v>6</v>
      </c>
      <c r="C22">
        <v>2.6143790849673201E-3</v>
      </c>
    </row>
    <row r="23" spans="1:3" x14ac:dyDescent="0.35">
      <c r="A23" t="s">
        <v>35</v>
      </c>
      <c r="B23">
        <v>6</v>
      </c>
      <c r="C23">
        <v>2.6143790849673201E-3</v>
      </c>
    </row>
    <row r="24" spans="1:3" x14ac:dyDescent="0.35">
      <c r="A24" t="s">
        <v>36</v>
      </c>
      <c r="B24">
        <v>4</v>
      </c>
      <c r="C24">
        <v>1.742919389978213E-3</v>
      </c>
    </row>
    <row r="25" spans="1:3" x14ac:dyDescent="0.35">
      <c r="A25" t="s">
        <v>37</v>
      </c>
      <c r="B25">
        <v>4</v>
      </c>
      <c r="C25">
        <v>1.742919389978213E-3</v>
      </c>
    </row>
    <row r="26" spans="1:3" x14ac:dyDescent="0.35">
      <c r="A26" t="s">
        <v>38</v>
      </c>
      <c r="B26">
        <v>3</v>
      </c>
      <c r="C26">
        <v>1.30718954248366E-3</v>
      </c>
    </row>
    <row r="27" spans="1:3" x14ac:dyDescent="0.35">
      <c r="A27" t="s">
        <v>39</v>
      </c>
      <c r="B27">
        <v>3</v>
      </c>
      <c r="C27">
        <v>1.30718954248366E-3</v>
      </c>
    </row>
    <row r="28" spans="1:3" x14ac:dyDescent="0.35">
      <c r="A28" t="s">
        <v>40</v>
      </c>
      <c r="B28">
        <v>3</v>
      </c>
      <c r="C28">
        <v>1.30718954248366E-3</v>
      </c>
    </row>
    <row r="29" spans="1:3" x14ac:dyDescent="0.35">
      <c r="A29" t="s">
        <v>41</v>
      </c>
      <c r="B29">
        <v>3</v>
      </c>
      <c r="C29">
        <v>1.30718954248366E-3</v>
      </c>
    </row>
    <row r="30" spans="1:3" x14ac:dyDescent="0.35">
      <c r="A30" t="s">
        <v>42</v>
      </c>
      <c r="B30">
        <v>2</v>
      </c>
      <c r="C30">
        <v>8.7145969498910673E-4</v>
      </c>
    </row>
    <row r="31" spans="1:3" x14ac:dyDescent="0.35">
      <c r="A31" t="s">
        <v>43</v>
      </c>
      <c r="B31">
        <v>2</v>
      </c>
      <c r="C31">
        <v>8.7145969498910673E-4</v>
      </c>
    </row>
    <row r="32" spans="1:3" x14ac:dyDescent="0.35">
      <c r="A32" t="s">
        <v>44</v>
      </c>
      <c r="B32">
        <v>2</v>
      </c>
      <c r="C32">
        <v>8.7145969498910673E-4</v>
      </c>
    </row>
    <row r="33" spans="1:3" x14ac:dyDescent="0.35">
      <c r="A33" t="s">
        <v>45</v>
      </c>
      <c r="B33">
        <v>1</v>
      </c>
      <c r="C33">
        <v>4.3572984749455342E-4</v>
      </c>
    </row>
    <row r="34" spans="1:3" x14ac:dyDescent="0.35">
      <c r="A34" t="s">
        <v>46</v>
      </c>
      <c r="B34">
        <v>1</v>
      </c>
      <c r="C34">
        <v>4.3572984749455342E-4</v>
      </c>
    </row>
    <row r="35" spans="1:3" x14ac:dyDescent="0.35">
      <c r="A35" t="s">
        <v>47</v>
      </c>
      <c r="B35">
        <v>1</v>
      </c>
      <c r="C35">
        <v>4.3572984749455342E-4</v>
      </c>
    </row>
    <row r="36" spans="1:3" x14ac:dyDescent="0.35">
      <c r="A36" t="s">
        <v>48</v>
      </c>
      <c r="B36">
        <v>1</v>
      </c>
      <c r="C36">
        <v>4.3572984749455342E-4</v>
      </c>
    </row>
    <row r="37" spans="1:3" x14ac:dyDescent="0.35">
      <c r="A37" t="s">
        <v>49</v>
      </c>
      <c r="B37">
        <v>1</v>
      </c>
      <c r="C37">
        <v>4.3572984749455342E-4</v>
      </c>
    </row>
    <row r="38" spans="1:3" x14ac:dyDescent="0.35">
      <c r="A38" t="s">
        <v>50</v>
      </c>
      <c r="B38">
        <v>1</v>
      </c>
      <c r="C38">
        <v>4.3572984749455342E-4</v>
      </c>
    </row>
    <row r="39" spans="1:3" x14ac:dyDescent="0.35">
      <c r="A39" t="s">
        <v>51</v>
      </c>
      <c r="B39">
        <v>1</v>
      </c>
      <c r="C39">
        <v>4.3572984749455342E-4</v>
      </c>
    </row>
    <row r="40" spans="1:3" x14ac:dyDescent="0.35">
      <c r="A40" t="s">
        <v>52</v>
      </c>
      <c r="B40">
        <v>1</v>
      </c>
      <c r="C40">
        <v>4.3572984749455342E-4</v>
      </c>
    </row>
    <row r="41" spans="1:3" x14ac:dyDescent="0.35">
      <c r="B41">
        <f>SUM(B2:B40)</f>
        <v>2295</v>
      </c>
      <c r="C41">
        <f>SUM(C2:C40)</f>
        <v>0.99999999999999967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workbookViewId="0">
      <pane ySplit="1" topLeftCell="A2" activePane="bottomLeft" state="frozen"/>
      <selection pane="bottomLeft" activeCell="L33" sqref="L32:L33"/>
    </sheetView>
  </sheetViews>
  <sheetFormatPr defaultRowHeight="14.5" x14ac:dyDescent="0.35"/>
  <cols>
    <col min="1" max="1" width="13.36328125" bestFit="1" customWidth="1"/>
    <col min="2" max="2" width="4.90625" bestFit="1" customWidth="1"/>
    <col min="3" max="3" width="9" bestFit="1" customWidth="1"/>
    <col min="4" max="4" width="12.6328125" style="2" bestFit="1" customWidth="1"/>
    <col min="5" max="5" width="8.90625" customWidth="1"/>
  </cols>
  <sheetData>
    <row r="1" spans="1:4" x14ac:dyDescent="0.35">
      <c r="A1" s="1" t="s">
        <v>13</v>
      </c>
      <c r="B1" s="1" t="s">
        <v>53</v>
      </c>
      <c r="C1" s="1" t="s">
        <v>54</v>
      </c>
      <c r="D1" s="3" t="s">
        <v>55</v>
      </c>
    </row>
    <row r="2" spans="1:4" x14ac:dyDescent="0.35">
      <c r="A2" t="s">
        <v>36</v>
      </c>
      <c r="B2">
        <v>4</v>
      </c>
      <c r="C2">
        <v>2</v>
      </c>
      <c r="D2" s="2">
        <v>0.5</v>
      </c>
    </row>
    <row r="3" spans="1:4" x14ac:dyDescent="0.35">
      <c r="A3" t="s">
        <v>21</v>
      </c>
      <c r="B3">
        <v>73</v>
      </c>
      <c r="C3">
        <v>3</v>
      </c>
      <c r="D3" s="2">
        <v>4.1095890410958902E-2</v>
      </c>
    </row>
    <row r="4" spans="1:4" x14ac:dyDescent="0.35">
      <c r="A4" t="s">
        <v>32</v>
      </c>
      <c r="B4">
        <v>6</v>
      </c>
      <c r="C4">
        <v>5</v>
      </c>
      <c r="D4" s="2">
        <v>0.83333333333333337</v>
      </c>
    </row>
    <row r="5" spans="1:4" x14ac:dyDescent="0.35">
      <c r="A5" t="s">
        <v>30</v>
      </c>
      <c r="B5">
        <v>9</v>
      </c>
      <c r="C5">
        <v>0</v>
      </c>
      <c r="D5" s="2">
        <v>0</v>
      </c>
    </row>
    <row r="6" spans="1:4" x14ac:dyDescent="0.35">
      <c r="A6" t="s">
        <v>45</v>
      </c>
      <c r="B6">
        <v>1</v>
      </c>
      <c r="C6">
        <v>0</v>
      </c>
      <c r="D6" s="2">
        <v>0</v>
      </c>
    </row>
    <row r="7" spans="1:4" x14ac:dyDescent="0.35">
      <c r="A7" t="s">
        <v>34</v>
      </c>
      <c r="B7">
        <v>6</v>
      </c>
      <c r="C7">
        <v>0</v>
      </c>
      <c r="D7" s="2">
        <v>0</v>
      </c>
    </row>
    <row r="8" spans="1:4" x14ac:dyDescent="0.35">
      <c r="A8" t="s">
        <v>51</v>
      </c>
      <c r="B8">
        <v>1</v>
      </c>
      <c r="C8">
        <v>0</v>
      </c>
      <c r="D8" s="2">
        <v>0</v>
      </c>
    </row>
    <row r="9" spans="1:4" x14ac:dyDescent="0.35">
      <c r="A9" t="s">
        <v>50</v>
      </c>
      <c r="B9">
        <v>1</v>
      </c>
      <c r="C9">
        <v>0</v>
      </c>
      <c r="D9" s="2">
        <v>0</v>
      </c>
    </row>
    <row r="10" spans="1:4" x14ac:dyDescent="0.35">
      <c r="A10" t="s">
        <v>20</v>
      </c>
      <c r="B10">
        <v>87</v>
      </c>
      <c r="C10">
        <v>10</v>
      </c>
      <c r="D10" s="2">
        <v>0.1149425287356322</v>
      </c>
    </row>
    <row r="11" spans="1:4" x14ac:dyDescent="0.35">
      <c r="A11" t="s">
        <v>28</v>
      </c>
      <c r="B11">
        <v>11</v>
      </c>
      <c r="C11">
        <v>0</v>
      </c>
      <c r="D11" s="2">
        <v>0</v>
      </c>
    </row>
    <row r="12" spans="1:4" x14ac:dyDescent="0.35">
      <c r="A12" t="s">
        <v>15</v>
      </c>
      <c r="B12">
        <v>425</v>
      </c>
      <c r="C12">
        <v>43</v>
      </c>
      <c r="D12" s="2">
        <v>0.1011764705882353</v>
      </c>
    </row>
    <row r="13" spans="1:4" x14ac:dyDescent="0.35">
      <c r="A13" t="s">
        <v>26</v>
      </c>
      <c r="B13">
        <v>14</v>
      </c>
      <c r="C13">
        <v>1</v>
      </c>
      <c r="D13" s="2">
        <v>7.1428571428571425E-2</v>
      </c>
    </row>
    <row r="14" spans="1:4" x14ac:dyDescent="0.35">
      <c r="A14" t="s">
        <v>29</v>
      </c>
      <c r="B14">
        <v>10</v>
      </c>
      <c r="C14">
        <v>1</v>
      </c>
      <c r="D14" s="2">
        <v>0.1</v>
      </c>
    </row>
    <row r="15" spans="1:4" x14ac:dyDescent="0.35">
      <c r="A15" t="s">
        <v>22</v>
      </c>
      <c r="B15">
        <v>58</v>
      </c>
      <c r="C15">
        <v>10</v>
      </c>
      <c r="D15" s="2">
        <v>0.17241379310344829</v>
      </c>
    </row>
    <row r="16" spans="1:4" x14ac:dyDescent="0.35">
      <c r="A16" t="s">
        <v>44</v>
      </c>
      <c r="B16">
        <v>2</v>
      </c>
      <c r="C16">
        <v>0</v>
      </c>
      <c r="D16" s="2">
        <v>0</v>
      </c>
    </row>
    <row r="17" spans="1:4" x14ac:dyDescent="0.35">
      <c r="A17" t="s">
        <v>37</v>
      </c>
      <c r="B17">
        <v>4</v>
      </c>
      <c r="C17">
        <v>3</v>
      </c>
      <c r="D17" s="2">
        <v>0.75</v>
      </c>
    </row>
    <row r="18" spans="1:4" x14ac:dyDescent="0.35">
      <c r="A18" t="s">
        <v>27</v>
      </c>
      <c r="B18">
        <v>13</v>
      </c>
      <c r="C18">
        <v>10</v>
      </c>
      <c r="D18" s="2">
        <v>0.76923076923076927</v>
      </c>
    </row>
    <row r="19" spans="1:4" x14ac:dyDescent="0.35">
      <c r="A19" t="s">
        <v>39</v>
      </c>
      <c r="B19">
        <v>3</v>
      </c>
      <c r="C19">
        <v>0</v>
      </c>
      <c r="D19" s="2">
        <v>0</v>
      </c>
    </row>
    <row r="20" spans="1:4" x14ac:dyDescent="0.35">
      <c r="A20" t="s">
        <v>43</v>
      </c>
      <c r="B20">
        <v>2</v>
      </c>
      <c r="C20">
        <v>0</v>
      </c>
      <c r="D20" s="2">
        <v>0</v>
      </c>
    </row>
    <row r="21" spans="1:4" x14ac:dyDescent="0.35">
      <c r="A21" t="s">
        <v>38</v>
      </c>
      <c r="B21">
        <v>3</v>
      </c>
      <c r="C21">
        <v>0</v>
      </c>
      <c r="D21" s="2">
        <v>0</v>
      </c>
    </row>
    <row r="22" spans="1:4" x14ac:dyDescent="0.35">
      <c r="A22" t="s">
        <v>52</v>
      </c>
      <c r="B22">
        <v>1</v>
      </c>
      <c r="C22">
        <v>0</v>
      </c>
      <c r="D22" s="2">
        <v>0</v>
      </c>
    </row>
    <row r="23" spans="1:4" x14ac:dyDescent="0.35">
      <c r="A23" t="s">
        <v>23</v>
      </c>
      <c r="B23">
        <v>54</v>
      </c>
      <c r="C23">
        <v>1</v>
      </c>
      <c r="D23" s="2">
        <v>1.8518518518518521E-2</v>
      </c>
    </row>
    <row r="24" spans="1:4" x14ac:dyDescent="0.35">
      <c r="A24" t="s">
        <v>35</v>
      </c>
      <c r="B24">
        <v>6</v>
      </c>
      <c r="C24">
        <v>0</v>
      </c>
      <c r="D24" s="2">
        <v>0</v>
      </c>
    </row>
    <row r="25" spans="1:4" x14ac:dyDescent="0.35">
      <c r="A25" t="s">
        <v>18</v>
      </c>
      <c r="B25">
        <v>107</v>
      </c>
      <c r="C25">
        <v>2</v>
      </c>
      <c r="D25" s="2">
        <v>1.8691588785046731E-2</v>
      </c>
    </row>
    <row r="26" spans="1:4" x14ac:dyDescent="0.35">
      <c r="A26" t="s">
        <v>49</v>
      </c>
      <c r="B26">
        <v>1</v>
      </c>
      <c r="C26">
        <v>1</v>
      </c>
      <c r="D26" s="2">
        <v>1</v>
      </c>
    </row>
    <row r="27" spans="1:4" x14ac:dyDescent="0.35">
      <c r="A27" t="s">
        <v>16</v>
      </c>
      <c r="B27">
        <v>339</v>
      </c>
      <c r="C27">
        <v>2</v>
      </c>
      <c r="D27" s="2">
        <v>5.8997050147492616E-3</v>
      </c>
    </row>
    <row r="28" spans="1:4" x14ac:dyDescent="0.35">
      <c r="A28" t="s">
        <v>14</v>
      </c>
      <c r="B28">
        <v>719</v>
      </c>
      <c r="C28">
        <v>28</v>
      </c>
      <c r="D28" s="2">
        <v>3.8942976356050069E-2</v>
      </c>
    </row>
    <row r="29" spans="1:4" x14ac:dyDescent="0.35">
      <c r="A29" t="s">
        <v>19</v>
      </c>
      <c r="B29">
        <v>94</v>
      </c>
      <c r="C29">
        <v>1</v>
      </c>
      <c r="D29" s="2">
        <v>1.063829787234043E-2</v>
      </c>
    </row>
    <row r="30" spans="1:4" x14ac:dyDescent="0.35">
      <c r="A30" t="s">
        <v>48</v>
      </c>
      <c r="B30">
        <v>1</v>
      </c>
      <c r="C30">
        <v>1</v>
      </c>
      <c r="D30" s="2">
        <v>1</v>
      </c>
    </row>
    <row r="31" spans="1:4" x14ac:dyDescent="0.35">
      <c r="A31" t="s">
        <v>40</v>
      </c>
      <c r="B31">
        <v>3</v>
      </c>
      <c r="C31">
        <v>2</v>
      </c>
      <c r="D31" s="2">
        <v>0.66666666666666663</v>
      </c>
    </row>
    <row r="32" spans="1:4" x14ac:dyDescent="0.35">
      <c r="A32" t="s">
        <v>47</v>
      </c>
      <c r="B32">
        <v>1</v>
      </c>
      <c r="C32">
        <v>0</v>
      </c>
      <c r="D32" s="2">
        <v>0</v>
      </c>
    </row>
    <row r="33" spans="1:4" x14ac:dyDescent="0.35">
      <c r="A33" t="s">
        <v>46</v>
      </c>
      <c r="B33">
        <v>1</v>
      </c>
      <c r="C33">
        <v>0</v>
      </c>
      <c r="D33" s="2">
        <v>0</v>
      </c>
    </row>
    <row r="34" spans="1:4" x14ac:dyDescent="0.35">
      <c r="A34" t="s">
        <v>31</v>
      </c>
      <c r="B34">
        <v>6</v>
      </c>
      <c r="C34">
        <v>0</v>
      </c>
      <c r="D34" s="2">
        <v>0</v>
      </c>
    </row>
    <row r="35" spans="1:4" x14ac:dyDescent="0.35">
      <c r="A35" t="s">
        <v>33</v>
      </c>
      <c r="B35">
        <v>6</v>
      </c>
      <c r="C35">
        <v>2</v>
      </c>
      <c r="D35" s="2">
        <v>0.33333333333333331</v>
      </c>
    </row>
    <row r="36" spans="1:4" x14ac:dyDescent="0.35">
      <c r="A36" t="s">
        <v>17</v>
      </c>
      <c r="B36">
        <v>168</v>
      </c>
      <c r="C36">
        <v>1</v>
      </c>
      <c r="D36" s="2">
        <v>5.9523809523809521E-3</v>
      </c>
    </row>
    <row r="37" spans="1:4" x14ac:dyDescent="0.35">
      <c r="A37" t="s">
        <v>25</v>
      </c>
      <c r="B37">
        <v>24</v>
      </c>
      <c r="C37">
        <v>0</v>
      </c>
      <c r="D37" s="2">
        <v>0</v>
      </c>
    </row>
    <row r="38" spans="1:4" x14ac:dyDescent="0.35">
      <c r="A38" t="s">
        <v>42</v>
      </c>
      <c r="B38">
        <v>2</v>
      </c>
      <c r="C38">
        <v>0</v>
      </c>
      <c r="D38" s="2">
        <v>0</v>
      </c>
    </row>
    <row r="39" spans="1:4" x14ac:dyDescent="0.35">
      <c r="A39" t="s">
        <v>41</v>
      </c>
      <c r="B39">
        <v>3</v>
      </c>
      <c r="C39">
        <v>0</v>
      </c>
      <c r="D39" s="2">
        <v>0</v>
      </c>
    </row>
    <row r="40" spans="1:4" x14ac:dyDescent="0.35">
      <c r="A40" t="s">
        <v>24</v>
      </c>
      <c r="B40">
        <v>26</v>
      </c>
      <c r="C40">
        <v>2</v>
      </c>
      <c r="D40" s="2">
        <v>7.6923076923076927E-2</v>
      </c>
    </row>
    <row r="41" spans="1:4" x14ac:dyDescent="0.35">
      <c r="B41">
        <f>SUM(B2:B40)</f>
        <v>2295</v>
      </c>
      <c r="C41">
        <f t="shared" ref="C41" si="0">SUM(C2:C40)</f>
        <v>131</v>
      </c>
      <c r="D41" s="2">
        <f>C41/B41</f>
        <v>5.7080610021786493E-2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5BE3-1E43-4A0B-8904-7141BC8AD15E}">
  <dimension ref="A1:D40"/>
  <sheetViews>
    <sheetView zoomScaleNormal="100" workbookViewId="0">
      <pane ySplit="1" topLeftCell="A2" activePane="bottomLeft" state="frozen"/>
      <selection pane="bottomLeft" activeCell="F26" sqref="F26"/>
    </sheetView>
  </sheetViews>
  <sheetFormatPr defaultRowHeight="14.5" x14ac:dyDescent="0.35"/>
  <cols>
    <col min="1" max="1" width="13.36328125" bestFit="1" customWidth="1"/>
    <col min="2" max="2" width="4.90625" bestFit="1" customWidth="1"/>
    <col min="3" max="3" width="9" bestFit="1" customWidth="1"/>
    <col min="4" max="4" width="12.6328125" style="2" bestFit="1" customWidth="1"/>
    <col min="5" max="5" width="8.90625" customWidth="1"/>
  </cols>
  <sheetData>
    <row r="1" spans="1:4" x14ac:dyDescent="0.35">
      <c r="A1" s="1" t="s">
        <v>13</v>
      </c>
      <c r="B1" s="1" t="s">
        <v>53</v>
      </c>
      <c r="C1" s="1" t="s">
        <v>54</v>
      </c>
      <c r="D1" s="3" t="s">
        <v>55</v>
      </c>
    </row>
    <row r="2" spans="1:4" x14ac:dyDescent="0.35">
      <c r="A2" t="s">
        <v>49</v>
      </c>
      <c r="B2">
        <v>1</v>
      </c>
      <c r="C2">
        <v>1</v>
      </c>
      <c r="D2" s="2">
        <v>1</v>
      </c>
    </row>
    <row r="3" spans="1:4" x14ac:dyDescent="0.35">
      <c r="A3" t="s">
        <v>48</v>
      </c>
      <c r="B3">
        <v>1</v>
      </c>
      <c r="C3">
        <v>1</v>
      </c>
      <c r="D3" s="2">
        <v>1</v>
      </c>
    </row>
    <row r="4" spans="1:4" x14ac:dyDescent="0.35">
      <c r="A4" t="s">
        <v>32</v>
      </c>
      <c r="B4">
        <v>6</v>
      </c>
      <c r="C4">
        <v>5</v>
      </c>
      <c r="D4" s="2">
        <v>0.83333333333333337</v>
      </c>
    </row>
    <row r="5" spans="1:4" x14ac:dyDescent="0.35">
      <c r="A5" t="s">
        <v>27</v>
      </c>
      <c r="B5">
        <v>13</v>
      </c>
      <c r="C5">
        <v>10</v>
      </c>
      <c r="D5" s="2">
        <v>0.76923076923076927</v>
      </c>
    </row>
    <row r="6" spans="1:4" x14ac:dyDescent="0.35">
      <c r="A6" t="s">
        <v>37</v>
      </c>
      <c r="B6">
        <v>4</v>
      </c>
      <c r="C6">
        <v>3</v>
      </c>
      <c r="D6" s="2">
        <v>0.75</v>
      </c>
    </row>
    <row r="7" spans="1:4" x14ac:dyDescent="0.35">
      <c r="A7" t="s">
        <v>40</v>
      </c>
      <c r="B7">
        <v>3</v>
      </c>
      <c r="C7">
        <v>2</v>
      </c>
      <c r="D7" s="2">
        <v>0.66666666666666663</v>
      </c>
    </row>
    <row r="8" spans="1:4" x14ac:dyDescent="0.35">
      <c r="A8" t="s">
        <v>36</v>
      </c>
      <c r="B8">
        <v>4</v>
      </c>
      <c r="C8">
        <v>2</v>
      </c>
      <c r="D8" s="2">
        <v>0.5</v>
      </c>
    </row>
    <row r="9" spans="1:4" x14ac:dyDescent="0.35">
      <c r="A9" t="s">
        <v>33</v>
      </c>
      <c r="B9">
        <v>6</v>
      </c>
      <c r="C9">
        <v>2</v>
      </c>
      <c r="D9" s="2">
        <v>0.33333333333333331</v>
      </c>
    </row>
    <row r="10" spans="1:4" x14ac:dyDescent="0.35">
      <c r="A10" t="s">
        <v>22</v>
      </c>
      <c r="B10">
        <v>58</v>
      </c>
      <c r="C10">
        <v>10</v>
      </c>
      <c r="D10" s="2">
        <v>0.17241379310344829</v>
      </c>
    </row>
    <row r="11" spans="1:4" x14ac:dyDescent="0.35">
      <c r="A11" t="s">
        <v>20</v>
      </c>
      <c r="B11">
        <v>87</v>
      </c>
      <c r="C11">
        <v>10</v>
      </c>
      <c r="D11" s="2">
        <v>0.1149425287356322</v>
      </c>
    </row>
    <row r="12" spans="1:4" x14ac:dyDescent="0.35">
      <c r="A12" t="s">
        <v>15</v>
      </c>
      <c r="B12">
        <v>425</v>
      </c>
      <c r="C12">
        <v>43</v>
      </c>
      <c r="D12" s="2">
        <v>0.1011764705882353</v>
      </c>
    </row>
    <row r="13" spans="1:4" x14ac:dyDescent="0.35">
      <c r="A13" t="s">
        <v>29</v>
      </c>
      <c r="B13">
        <v>10</v>
      </c>
      <c r="C13">
        <v>1</v>
      </c>
      <c r="D13" s="2">
        <v>0.1</v>
      </c>
    </row>
    <row r="14" spans="1:4" x14ac:dyDescent="0.35">
      <c r="A14" t="s">
        <v>24</v>
      </c>
      <c r="B14">
        <v>26</v>
      </c>
      <c r="C14">
        <v>2</v>
      </c>
      <c r="D14" s="2">
        <v>7.6923076923076927E-2</v>
      </c>
    </row>
    <row r="15" spans="1:4" x14ac:dyDescent="0.35">
      <c r="A15" t="s">
        <v>26</v>
      </c>
      <c r="B15">
        <v>14</v>
      </c>
      <c r="C15">
        <v>1</v>
      </c>
      <c r="D15" s="2">
        <v>7.1428571428571425E-2</v>
      </c>
    </row>
    <row r="16" spans="1:4" x14ac:dyDescent="0.35">
      <c r="A16" t="s">
        <v>21</v>
      </c>
      <c r="B16">
        <v>73</v>
      </c>
      <c r="C16">
        <v>3</v>
      </c>
      <c r="D16" s="2">
        <v>4.1095890410958902E-2</v>
      </c>
    </row>
    <row r="17" spans="1:4" x14ac:dyDescent="0.35">
      <c r="A17" t="s">
        <v>14</v>
      </c>
      <c r="B17">
        <v>719</v>
      </c>
      <c r="C17">
        <v>28</v>
      </c>
      <c r="D17" s="2">
        <v>3.8942976356050069E-2</v>
      </c>
    </row>
    <row r="18" spans="1:4" x14ac:dyDescent="0.35">
      <c r="A18" t="s">
        <v>18</v>
      </c>
      <c r="B18">
        <v>107</v>
      </c>
      <c r="C18">
        <v>2</v>
      </c>
      <c r="D18" s="2">
        <v>1.8691588785046731E-2</v>
      </c>
    </row>
    <row r="19" spans="1:4" x14ac:dyDescent="0.35">
      <c r="A19" t="s">
        <v>23</v>
      </c>
      <c r="B19">
        <v>54</v>
      </c>
      <c r="C19">
        <v>1</v>
      </c>
      <c r="D19" s="2">
        <v>1.8518518518518521E-2</v>
      </c>
    </row>
    <row r="20" spans="1:4" x14ac:dyDescent="0.35">
      <c r="A20" t="s">
        <v>19</v>
      </c>
      <c r="B20">
        <v>94</v>
      </c>
      <c r="C20">
        <v>1</v>
      </c>
      <c r="D20" s="2">
        <v>1.063829787234043E-2</v>
      </c>
    </row>
    <row r="21" spans="1:4" x14ac:dyDescent="0.35">
      <c r="A21" t="s">
        <v>17</v>
      </c>
      <c r="B21">
        <v>168</v>
      </c>
      <c r="C21">
        <v>1</v>
      </c>
      <c r="D21" s="2">
        <v>5.9523809523809521E-3</v>
      </c>
    </row>
    <row r="22" spans="1:4" x14ac:dyDescent="0.35">
      <c r="A22" t="s">
        <v>16</v>
      </c>
      <c r="B22">
        <v>339</v>
      </c>
      <c r="C22">
        <v>2</v>
      </c>
      <c r="D22" s="2">
        <v>5.8997050147492616E-3</v>
      </c>
    </row>
    <row r="23" spans="1:4" x14ac:dyDescent="0.35">
      <c r="A23" t="s">
        <v>25</v>
      </c>
      <c r="B23">
        <v>24</v>
      </c>
      <c r="C23">
        <v>0</v>
      </c>
      <c r="D23" s="2">
        <v>0</v>
      </c>
    </row>
    <row r="24" spans="1:4" x14ac:dyDescent="0.35">
      <c r="A24" t="s">
        <v>28</v>
      </c>
      <c r="B24">
        <v>11</v>
      </c>
      <c r="C24">
        <v>0</v>
      </c>
      <c r="D24" s="2">
        <v>0</v>
      </c>
    </row>
    <row r="25" spans="1:4" x14ac:dyDescent="0.35">
      <c r="A25" t="s">
        <v>30</v>
      </c>
      <c r="B25">
        <v>9</v>
      </c>
      <c r="C25">
        <v>0</v>
      </c>
      <c r="D25" s="2">
        <v>0</v>
      </c>
    </row>
    <row r="26" spans="1:4" x14ac:dyDescent="0.35">
      <c r="A26" t="s">
        <v>34</v>
      </c>
      <c r="B26">
        <v>6</v>
      </c>
      <c r="C26">
        <v>0</v>
      </c>
      <c r="D26" s="2">
        <v>0</v>
      </c>
    </row>
    <row r="27" spans="1:4" x14ac:dyDescent="0.35">
      <c r="A27" t="s">
        <v>35</v>
      </c>
      <c r="B27">
        <v>6</v>
      </c>
      <c r="C27">
        <v>0</v>
      </c>
      <c r="D27" s="2">
        <v>0</v>
      </c>
    </row>
    <row r="28" spans="1:4" x14ac:dyDescent="0.35">
      <c r="A28" t="s">
        <v>31</v>
      </c>
      <c r="B28">
        <v>6</v>
      </c>
      <c r="C28">
        <v>0</v>
      </c>
      <c r="D28" s="2">
        <v>0</v>
      </c>
    </row>
    <row r="29" spans="1:4" x14ac:dyDescent="0.35">
      <c r="A29" t="s">
        <v>39</v>
      </c>
      <c r="B29">
        <v>3</v>
      </c>
      <c r="C29">
        <v>0</v>
      </c>
      <c r="D29" s="2">
        <v>0</v>
      </c>
    </row>
    <row r="30" spans="1:4" x14ac:dyDescent="0.35">
      <c r="A30" t="s">
        <v>38</v>
      </c>
      <c r="B30">
        <v>3</v>
      </c>
      <c r="C30">
        <v>0</v>
      </c>
      <c r="D30" s="2">
        <v>0</v>
      </c>
    </row>
    <row r="31" spans="1:4" x14ac:dyDescent="0.35">
      <c r="A31" t="s">
        <v>41</v>
      </c>
      <c r="B31">
        <v>3</v>
      </c>
      <c r="C31">
        <v>0</v>
      </c>
      <c r="D31" s="2">
        <v>0</v>
      </c>
    </row>
    <row r="32" spans="1:4" x14ac:dyDescent="0.35">
      <c r="A32" t="s">
        <v>44</v>
      </c>
      <c r="B32">
        <v>2</v>
      </c>
      <c r="C32">
        <v>0</v>
      </c>
      <c r="D32" s="2">
        <v>0</v>
      </c>
    </row>
    <row r="33" spans="1:4" x14ac:dyDescent="0.35">
      <c r="A33" t="s">
        <v>43</v>
      </c>
      <c r="B33">
        <v>2</v>
      </c>
      <c r="C33">
        <v>0</v>
      </c>
      <c r="D33" s="2">
        <v>0</v>
      </c>
    </row>
    <row r="34" spans="1:4" x14ac:dyDescent="0.35">
      <c r="A34" t="s">
        <v>42</v>
      </c>
      <c r="B34">
        <v>2</v>
      </c>
      <c r="C34">
        <v>0</v>
      </c>
      <c r="D34" s="2">
        <v>0</v>
      </c>
    </row>
    <row r="35" spans="1:4" x14ac:dyDescent="0.35">
      <c r="A35" t="s">
        <v>45</v>
      </c>
      <c r="B35">
        <v>1</v>
      </c>
      <c r="C35">
        <v>0</v>
      </c>
      <c r="D35" s="2">
        <v>0</v>
      </c>
    </row>
    <row r="36" spans="1:4" x14ac:dyDescent="0.35">
      <c r="A36" t="s">
        <v>51</v>
      </c>
      <c r="B36">
        <v>1</v>
      </c>
      <c r="C36">
        <v>0</v>
      </c>
      <c r="D36" s="2">
        <v>0</v>
      </c>
    </row>
    <row r="37" spans="1:4" x14ac:dyDescent="0.35">
      <c r="A37" t="s">
        <v>50</v>
      </c>
      <c r="B37">
        <v>1</v>
      </c>
      <c r="C37">
        <v>0</v>
      </c>
      <c r="D37" s="2">
        <v>0</v>
      </c>
    </row>
    <row r="38" spans="1:4" x14ac:dyDescent="0.35">
      <c r="A38" t="s">
        <v>52</v>
      </c>
      <c r="B38">
        <v>1</v>
      </c>
      <c r="C38">
        <v>0</v>
      </c>
      <c r="D38" s="2">
        <v>0</v>
      </c>
    </row>
    <row r="39" spans="1:4" x14ac:dyDescent="0.35">
      <c r="A39" t="s">
        <v>47</v>
      </c>
      <c r="B39">
        <v>1</v>
      </c>
      <c r="C39">
        <v>0</v>
      </c>
      <c r="D39" s="2">
        <v>0</v>
      </c>
    </row>
    <row r="40" spans="1:4" x14ac:dyDescent="0.35">
      <c r="A40" t="s">
        <v>46</v>
      </c>
      <c r="B40">
        <v>1</v>
      </c>
      <c r="C40">
        <v>0</v>
      </c>
      <c r="D40" s="2">
        <v>0</v>
      </c>
    </row>
  </sheetData>
  <sortState xmlns:xlrd2="http://schemas.microsoft.com/office/spreadsheetml/2017/richdata2" ref="A2:D40">
    <sortCondition descending="1" ref="D2:D40"/>
    <sortCondition descending="1" ref="B2:B40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workbookViewId="0">
      <pane ySplit="1" topLeftCell="A2" activePane="bottomLeft" state="frozen"/>
      <selection pane="bottomLeft" activeCell="I15" sqref="I15"/>
    </sheetView>
  </sheetViews>
  <sheetFormatPr defaultRowHeight="14.5" x14ac:dyDescent="0.35"/>
  <cols>
    <col min="1" max="1" width="12.26953125" bestFit="1" customWidth="1"/>
    <col min="2" max="2" width="27.90625" bestFit="1" customWidth="1"/>
    <col min="3" max="3" width="5.7265625" bestFit="1" customWidth="1"/>
    <col min="4" max="4" width="14.6328125" customWidth="1"/>
  </cols>
  <sheetData>
    <row r="1" spans="1:3" x14ac:dyDescent="0.35">
      <c r="A1" s="1" t="s">
        <v>13</v>
      </c>
      <c r="B1" s="1" t="s">
        <v>56</v>
      </c>
      <c r="C1" s="1" t="s">
        <v>9</v>
      </c>
    </row>
    <row r="2" spans="1:3" x14ac:dyDescent="0.35">
      <c r="A2" t="s">
        <v>15</v>
      </c>
      <c r="B2" t="s">
        <v>16</v>
      </c>
      <c r="C2">
        <v>17</v>
      </c>
    </row>
    <row r="3" spans="1:3" x14ac:dyDescent="0.35">
      <c r="A3" t="s">
        <v>14</v>
      </c>
      <c r="B3" t="s">
        <v>17</v>
      </c>
      <c r="C3">
        <v>13</v>
      </c>
    </row>
    <row r="4" spans="1:3" x14ac:dyDescent="0.35">
      <c r="A4" t="s">
        <v>15</v>
      </c>
      <c r="B4" t="s">
        <v>14</v>
      </c>
      <c r="C4">
        <v>10</v>
      </c>
    </row>
    <row r="5" spans="1:3" x14ac:dyDescent="0.35">
      <c r="A5" t="s">
        <v>27</v>
      </c>
      <c r="B5" t="s">
        <v>14</v>
      </c>
      <c r="C5">
        <v>10</v>
      </c>
    </row>
    <row r="6" spans="1:3" x14ac:dyDescent="0.35">
      <c r="A6" t="s">
        <v>14</v>
      </c>
      <c r="B6" t="s">
        <v>20</v>
      </c>
      <c r="C6">
        <v>9</v>
      </c>
    </row>
    <row r="7" spans="1:3" x14ac:dyDescent="0.35">
      <c r="A7" t="s">
        <v>20</v>
      </c>
      <c r="B7" t="s">
        <v>15</v>
      </c>
      <c r="C7">
        <v>6</v>
      </c>
    </row>
    <row r="8" spans="1:3" x14ac:dyDescent="0.35">
      <c r="A8" t="s">
        <v>32</v>
      </c>
      <c r="B8" t="s">
        <v>14</v>
      </c>
      <c r="C8">
        <v>5</v>
      </c>
    </row>
    <row r="9" spans="1:3" x14ac:dyDescent="0.35">
      <c r="A9" t="s">
        <v>14</v>
      </c>
      <c r="B9" t="s">
        <v>15</v>
      </c>
      <c r="C9">
        <v>5</v>
      </c>
    </row>
    <row r="10" spans="1:3" x14ac:dyDescent="0.35">
      <c r="A10" t="s">
        <v>15</v>
      </c>
      <c r="B10" t="s">
        <v>23</v>
      </c>
      <c r="C10">
        <v>5</v>
      </c>
    </row>
    <row r="11" spans="1:3" x14ac:dyDescent="0.35">
      <c r="A11" t="s">
        <v>22</v>
      </c>
      <c r="B11" t="s">
        <v>17</v>
      </c>
      <c r="C11">
        <v>4</v>
      </c>
    </row>
    <row r="12" spans="1:3" x14ac:dyDescent="0.35">
      <c r="A12" t="s">
        <v>15</v>
      </c>
      <c r="B12" t="s">
        <v>21</v>
      </c>
      <c r="C12">
        <v>4</v>
      </c>
    </row>
    <row r="13" spans="1:3" x14ac:dyDescent="0.35">
      <c r="A13" t="s">
        <v>15</v>
      </c>
      <c r="B13" t="s">
        <v>17</v>
      </c>
      <c r="C13">
        <v>3</v>
      </c>
    </row>
    <row r="14" spans="1:3" x14ac:dyDescent="0.35">
      <c r="A14" t="s">
        <v>37</v>
      </c>
      <c r="B14" t="s">
        <v>16</v>
      </c>
      <c r="C14">
        <v>2</v>
      </c>
    </row>
    <row r="15" spans="1:3" x14ac:dyDescent="0.35">
      <c r="A15" t="s">
        <v>22</v>
      </c>
      <c r="B15" t="s">
        <v>16</v>
      </c>
      <c r="C15">
        <v>2</v>
      </c>
    </row>
    <row r="16" spans="1:3" x14ac:dyDescent="0.35">
      <c r="A16" t="s">
        <v>22</v>
      </c>
      <c r="B16" t="s">
        <v>44</v>
      </c>
      <c r="C16">
        <v>2</v>
      </c>
    </row>
    <row r="17" spans="1:3" x14ac:dyDescent="0.35">
      <c r="A17" t="s">
        <v>18</v>
      </c>
      <c r="B17" t="s">
        <v>14</v>
      </c>
      <c r="C17">
        <v>2</v>
      </c>
    </row>
    <row r="18" spans="1:3" x14ac:dyDescent="0.35">
      <c r="A18" t="s">
        <v>15</v>
      </c>
      <c r="B18" t="s">
        <v>50</v>
      </c>
      <c r="C18">
        <v>2</v>
      </c>
    </row>
    <row r="19" spans="1:3" x14ac:dyDescent="0.35">
      <c r="A19" t="s">
        <v>21</v>
      </c>
      <c r="B19" t="s">
        <v>15</v>
      </c>
      <c r="C19">
        <v>2</v>
      </c>
    </row>
    <row r="20" spans="1:3" x14ac:dyDescent="0.35">
      <c r="A20" t="s">
        <v>16</v>
      </c>
      <c r="B20" t="s">
        <v>20</v>
      </c>
      <c r="C20">
        <v>1</v>
      </c>
    </row>
    <row r="21" spans="1:3" x14ac:dyDescent="0.35">
      <c r="A21" t="s">
        <v>48</v>
      </c>
      <c r="B21" t="s">
        <v>14</v>
      </c>
      <c r="C21">
        <v>1</v>
      </c>
    </row>
    <row r="22" spans="1:3" x14ac:dyDescent="0.35">
      <c r="A22" t="s">
        <v>19</v>
      </c>
      <c r="B22" t="s">
        <v>14</v>
      </c>
      <c r="C22">
        <v>1</v>
      </c>
    </row>
    <row r="23" spans="1:3" x14ac:dyDescent="0.35">
      <c r="A23" t="s">
        <v>14</v>
      </c>
      <c r="B23" t="s">
        <v>23</v>
      </c>
      <c r="C23">
        <v>1</v>
      </c>
    </row>
    <row r="24" spans="1:3" x14ac:dyDescent="0.35">
      <c r="A24" t="s">
        <v>40</v>
      </c>
      <c r="B24" t="s">
        <v>15</v>
      </c>
      <c r="C24">
        <v>1</v>
      </c>
    </row>
    <row r="25" spans="1:3" x14ac:dyDescent="0.35">
      <c r="A25" t="s">
        <v>40</v>
      </c>
      <c r="B25" t="s">
        <v>14</v>
      </c>
      <c r="C25">
        <v>1</v>
      </c>
    </row>
    <row r="26" spans="1:3" x14ac:dyDescent="0.35">
      <c r="A26" t="s">
        <v>33</v>
      </c>
      <c r="B26" t="s">
        <v>57</v>
      </c>
      <c r="C26">
        <v>1</v>
      </c>
    </row>
    <row r="27" spans="1:3" x14ac:dyDescent="0.35">
      <c r="A27" t="s">
        <v>33</v>
      </c>
      <c r="B27" t="s">
        <v>15</v>
      </c>
      <c r="C27">
        <v>1</v>
      </c>
    </row>
    <row r="28" spans="1:3" x14ac:dyDescent="0.35">
      <c r="A28" t="s">
        <v>17</v>
      </c>
      <c r="B28" t="s">
        <v>14</v>
      </c>
      <c r="C28">
        <v>1</v>
      </c>
    </row>
    <row r="29" spans="1:3" x14ac:dyDescent="0.35">
      <c r="A29" t="s">
        <v>24</v>
      </c>
      <c r="B29" t="s">
        <v>15</v>
      </c>
      <c r="C29">
        <v>1</v>
      </c>
    </row>
    <row r="30" spans="1:3" x14ac:dyDescent="0.35">
      <c r="A30" t="s">
        <v>16</v>
      </c>
      <c r="B30" t="s">
        <v>17</v>
      </c>
      <c r="C30">
        <v>1</v>
      </c>
    </row>
    <row r="31" spans="1:3" x14ac:dyDescent="0.35">
      <c r="A31" t="s">
        <v>36</v>
      </c>
      <c r="B31" t="s">
        <v>20</v>
      </c>
      <c r="C31">
        <v>1</v>
      </c>
    </row>
    <row r="32" spans="1:3" x14ac:dyDescent="0.35">
      <c r="A32" t="s">
        <v>22</v>
      </c>
      <c r="B32" t="s">
        <v>14</v>
      </c>
      <c r="C32">
        <v>1</v>
      </c>
    </row>
    <row r="33" spans="1:3" x14ac:dyDescent="0.35">
      <c r="A33" t="s">
        <v>49</v>
      </c>
      <c r="B33" t="s">
        <v>16</v>
      </c>
      <c r="C33">
        <v>1</v>
      </c>
    </row>
    <row r="34" spans="1:3" x14ac:dyDescent="0.35">
      <c r="A34" t="s">
        <v>23</v>
      </c>
      <c r="B34" t="s">
        <v>14</v>
      </c>
      <c r="C34">
        <v>1</v>
      </c>
    </row>
    <row r="35" spans="1:3" x14ac:dyDescent="0.35">
      <c r="A35" t="s">
        <v>37</v>
      </c>
      <c r="B35" t="s">
        <v>14</v>
      </c>
      <c r="C35">
        <v>1</v>
      </c>
    </row>
    <row r="36" spans="1:3" x14ac:dyDescent="0.35">
      <c r="A36" t="s">
        <v>36</v>
      </c>
      <c r="B36" t="s">
        <v>14</v>
      </c>
      <c r="C36">
        <v>1</v>
      </c>
    </row>
    <row r="37" spans="1:3" x14ac:dyDescent="0.35">
      <c r="A37" t="s">
        <v>22</v>
      </c>
      <c r="B37" t="s">
        <v>26</v>
      </c>
      <c r="C37">
        <v>1</v>
      </c>
    </row>
    <row r="38" spans="1:3" x14ac:dyDescent="0.35">
      <c r="A38" t="s">
        <v>29</v>
      </c>
      <c r="B38" t="s">
        <v>14</v>
      </c>
      <c r="C38">
        <v>1</v>
      </c>
    </row>
    <row r="39" spans="1:3" x14ac:dyDescent="0.35">
      <c r="A39" t="s">
        <v>26</v>
      </c>
      <c r="B39" t="s">
        <v>16</v>
      </c>
      <c r="C39">
        <v>1</v>
      </c>
    </row>
    <row r="40" spans="1:3" x14ac:dyDescent="0.35">
      <c r="A40" t="s">
        <v>15</v>
      </c>
      <c r="B40" t="s">
        <v>22</v>
      </c>
      <c r="C40">
        <v>1</v>
      </c>
    </row>
    <row r="41" spans="1:3" x14ac:dyDescent="0.35">
      <c r="A41" t="s">
        <v>15</v>
      </c>
      <c r="B41" t="s">
        <v>34</v>
      </c>
      <c r="C41">
        <v>1</v>
      </c>
    </row>
    <row r="42" spans="1:3" x14ac:dyDescent="0.35">
      <c r="A42" t="s">
        <v>20</v>
      </c>
      <c r="B42" t="s">
        <v>17</v>
      </c>
      <c r="C42">
        <v>1</v>
      </c>
    </row>
    <row r="43" spans="1:3" x14ac:dyDescent="0.35">
      <c r="A43" t="s">
        <v>20</v>
      </c>
      <c r="B43" t="s">
        <v>14</v>
      </c>
      <c r="C43">
        <v>1</v>
      </c>
    </row>
    <row r="44" spans="1:3" x14ac:dyDescent="0.35">
      <c r="A44" t="s">
        <v>20</v>
      </c>
      <c r="B44" t="s">
        <v>16</v>
      </c>
      <c r="C44">
        <v>1</v>
      </c>
    </row>
    <row r="45" spans="1:3" x14ac:dyDescent="0.35">
      <c r="A45" t="s">
        <v>20</v>
      </c>
      <c r="B45" t="s">
        <v>34</v>
      </c>
      <c r="C45">
        <v>1</v>
      </c>
    </row>
    <row r="46" spans="1:3" x14ac:dyDescent="0.35">
      <c r="A46" t="s">
        <v>21</v>
      </c>
      <c r="B46" t="s">
        <v>20</v>
      </c>
      <c r="C46">
        <v>1</v>
      </c>
    </row>
    <row r="47" spans="1:3" x14ac:dyDescent="0.35">
      <c r="A47" t="s">
        <v>24</v>
      </c>
      <c r="B47" t="s">
        <v>14</v>
      </c>
      <c r="C47">
        <v>1</v>
      </c>
    </row>
    <row r="48" spans="1:3" x14ac:dyDescent="0.35">
      <c r="C48">
        <f>SUM(C2:C47)</f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8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15.54296875" bestFit="1" customWidth="1"/>
    <col min="2" max="2" width="29.7265625" bestFit="1" customWidth="1"/>
    <col min="3" max="3" width="5.7265625" bestFit="1" customWidth="1"/>
    <col min="4" max="4" width="8.90625" customWidth="1"/>
  </cols>
  <sheetData>
    <row r="1" spans="1:3" x14ac:dyDescent="0.35">
      <c r="A1" s="1" t="s">
        <v>58</v>
      </c>
      <c r="B1" s="1" t="s">
        <v>59</v>
      </c>
      <c r="C1" s="1" t="s">
        <v>9</v>
      </c>
    </row>
    <row r="2" spans="1:3" x14ac:dyDescent="0.35">
      <c r="A2" t="s">
        <v>60</v>
      </c>
      <c r="B2" t="s">
        <v>61</v>
      </c>
      <c r="C2">
        <v>10</v>
      </c>
    </row>
    <row r="3" spans="1:3" x14ac:dyDescent="0.35">
      <c r="A3" t="s">
        <v>62</v>
      </c>
      <c r="B3" t="s">
        <v>63</v>
      </c>
      <c r="C3">
        <v>5</v>
      </c>
    </row>
    <row r="4" spans="1:3" x14ac:dyDescent="0.35">
      <c r="A4" t="s">
        <v>64</v>
      </c>
      <c r="B4" t="s">
        <v>65</v>
      </c>
      <c r="C4">
        <v>3</v>
      </c>
    </row>
    <row r="5" spans="1:3" x14ac:dyDescent="0.35">
      <c r="A5" t="s">
        <v>66</v>
      </c>
      <c r="B5" t="s">
        <v>67</v>
      </c>
      <c r="C5">
        <v>3</v>
      </c>
    </row>
    <row r="6" spans="1:3" x14ac:dyDescent="0.35">
      <c r="A6" t="s">
        <v>68</v>
      </c>
      <c r="B6" t="s">
        <v>68</v>
      </c>
      <c r="C6">
        <v>2</v>
      </c>
    </row>
    <row r="7" spans="1:3" x14ac:dyDescent="0.35">
      <c r="A7" t="s">
        <v>76</v>
      </c>
      <c r="B7" t="s">
        <v>77</v>
      </c>
      <c r="C7">
        <v>2</v>
      </c>
    </row>
    <row r="8" spans="1:3" x14ac:dyDescent="0.35">
      <c r="A8" t="s">
        <v>74</v>
      </c>
      <c r="B8" t="s">
        <v>75</v>
      </c>
      <c r="C8">
        <v>2</v>
      </c>
    </row>
    <row r="9" spans="1:3" x14ac:dyDescent="0.35">
      <c r="A9" t="s">
        <v>69</v>
      </c>
      <c r="B9" t="s">
        <v>69</v>
      </c>
      <c r="C9">
        <v>2</v>
      </c>
    </row>
    <row r="10" spans="1:3" x14ac:dyDescent="0.35">
      <c r="A10" t="s">
        <v>72</v>
      </c>
      <c r="B10" t="s">
        <v>73</v>
      </c>
      <c r="C10">
        <v>2</v>
      </c>
    </row>
    <row r="11" spans="1:3" x14ac:dyDescent="0.35">
      <c r="A11" t="s">
        <v>70</v>
      </c>
      <c r="B11" t="s">
        <v>71</v>
      </c>
      <c r="C11">
        <v>2</v>
      </c>
    </row>
    <row r="12" spans="1:3" x14ac:dyDescent="0.35">
      <c r="A12" t="s">
        <v>85</v>
      </c>
      <c r="B12" t="s">
        <v>86</v>
      </c>
      <c r="C12">
        <v>1</v>
      </c>
    </row>
    <row r="13" spans="1:3" x14ac:dyDescent="0.35">
      <c r="A13" t="s">
        <v>132</v>
      </c>
      <c r="B13" t="s">
        <v>133</v>
      </c>
      <c r="C13">
        <v>1</v>
      </c>
    </row>
    <row r="14" spans="1:3" x14ac:dyDescent="0.35">
      <c r="A14" t="s">
        <v>68</v>
      </c>
      <c r="B14" t="s">
        <v>157</v>
      </c>
      <c r="C14">
        <v>1</v>
      </c>
    </row>
    <row r="15" spans="1:3" x14ac:dyDescent="0.35">
      <c r="A15" t="s">
        <v>156</v>
      </c>
      <c r="B15" t="s">
        <v>156</v>
      </c>
      <c r="C15">
        <v>1</v>
      </c>
    </row>
    <row r="16" spans="1:3" x14ac:dyDescent="0.35">
      <c r="A16" t="s">
        <v>155</v>
      </c>
      <c r="B16" t="s">
        <v>68</v>
      </c>
      <c r="C16">
        <v>1</v>
      </c>
    </row>
    <row r="17" spans="1:3" x14ac:dyDescent="0.35">
      <c r="A17" t="s">
        <v>153</v>
      </c>
      <c r="B17" t="s">
        <v>154</v>
      </c>
      <c r="C17">
        <v>1</v>
      </c>
    </row>
    <row r="18" spans="1:3" x14ac:dyDescent="0.35">
      <c r="A18" t="s">
        <v>150</v>
      </c>
      <c r="B18" t="s">
        <v>151</v>
      </c>
      <c r="C18">
        <v>1</v>
      </c>
    </row>
    <row r="19" spans="1:3" x14ac:dyDescent="0.35">
      <c r="A19" t="s">
        <v>150</v>
      </c>
      <c r="B19" t="s">
        <v>152</v>
      </c>
      <c r="C19">
        <v>1</v>
      </c>
    </row>
    <row r="20" spans="1:3" x14ac:dyDescent="0.35">
      <c r="A20" t="s">
        <v>147</v>
      </c>
      <c r="B20" t="s">
        <v>148</v>
      </c>
      <c r="C20">
        <v>1</v>
      </c>
    </row>
    <row r="21" spans="1:3" x14ac:dyDescent="0.35">
      <c r="A21" t="s">
        <v>147</v>
      </c>
      <c r="B21" t="s">
        <v>149</v>
      </c>
      <c r="C21">
        <v>1</v>
      </c>
    </row>
    <row r="22" spans="1:3" x14ac:dyDescent="0.35">
      <c r="A22" t="s">
        <v>145</v>
      </c>
      <c r="B22" t="s">
        <v>146</v>
      </c>
      <c r="C22">
        <v>1</v>
      </c>
    </row>
    <row r="23" spans="1:3" x14ac:dyDescent="0.35">
      <c r="A23" t="s">
        <v>142</v>
      </c>
      <c r="B23" t="s">
        <v>143</v>
      </c>
      <c r="C23">
        <v>1</v>
      </c>
    </row>
    <row r="24" spans="1:3" x14ac:dyDescent="0.35">
      <c r="A24" t="s">
        <v>142</v>
      </c>
      <c r="B24" t="s">
        <v>144</v>
      </c>
      <c r="C24">
        <v>1</v>
      </c>
    </row>
    <row r="25" spans="1:3" x14ac:dyDescent="0.35">
      <c r="A25" t="s">
        <v>140</v>
      </c>
      <c r="B25" t="s">
        <v>141</v>
      </c>
      <c r="C25">
        <v>1</v>
      </c>
    </row>
    <row r="26" spans="1:3" x14ac:dyDescent="0.35">
      <c r="A26" t="s">
        <v>29</v>
      </c>
      <c r="B26" t="s">
        <v>139</v>
      </c>
      <c r="C26">
        <v>1</v>
      </c>
    </row>
    <row r="27" spans="1:3" x14ac:dyDescent="0.35">
      <c r="A27" t="s">
        <v>137</v>
      </c>
      <c r="B27" t="s">
        <v>138</v>
      </c>
      <c r="C27">
        <v>1</v>
      </c>
    </row>
    <row r="28" spans="1:3" x14ac:dyDescent="0.35">
      <c r="A28" t="s">
        <v>22</v>
      </c>
      <c r="B28" t="s">
        <v>136</v>
      </c>
      <c r="C28">
        <v>1</v>
      </c>
    </row>
    <row r="29" spans="1:3" x14ac:dyDescent="0.35">
      <c r="A29" t="s">
        <v>37</v>
      </c>
      <c r="B29" t="s">
        <v>135</v>
      </c>
      <c r="C29">
        <v>1</v>
      </c>
    </row>
    <row r="30" spans="1:3" x14ac:dyDescent="0.35">
      <c r="A30" t="s">
        <v>74</v>
      </c>
      <c r="B30" t="s">
        <v>134</v>
      </c>
      <c r="C30">
        <v>1</v>
      </c>
    </row>
    <row r="31" spans="1:3" x14ac:dyDescent="0.35">
      <c r="A31" t="s">
        <v>158</v>
      </c>
      <c r="B31" t="s">
        <v>34</v>
      </c>
      <c r="C31">
        <v>1</v>
      </c>
    </row>
    <row r="32" spans="1:3" x14ac:dyDescent="0.35">
      <c r="A32" t="s">
        <v>159</v>
      </c>
      <c r="B32" t="s">
        <v>160</v>
      </c>
      <c r="C32">
        <v>1</v>
      </c>
    </row>
    <row r="33" spans="1:3" x14ac:dyDescent="0.35">
      <c r="A33" t="s">
        <v>161</v>
      </c>
      <c r="B33" t="s">
        <v>162</v>
      </c>
      <c r="C33">
        <v>1</v>
      </c>
    </row>
    <row r="34" spans="1:3" x14ac:dyDescent="0.35">
      <c r="A34" t="s">
        <v>176</v>
      </c>
      <c r="B34" t="s">
        <v>177</v>
      </c>
      <c r="C34">
        <v>1</v>
      </c>
    </row>
    <row r="35" spans="1:3" x14ac:dyDescent="0.35">
      <c r="A35" t="s">
        <v>176</v>
      </c>
      <c r="B35" t="s">
        <v>24</v>
      </c>
      <c r="C35">
        <v>1</v>
      </c>
    </row>
    <row r="36" spans="1:3" x14ac:dyDescent="0.35">
      <c r="A36" t="s">
        <v>176</v>
      </c>
      <c r="B36" t="s">
        <v>181</v>
      </c>
      <c r="C36">
        <v>1</v>
      </c>
    </row>
    <row r="37" spans="1:3" x14ac:dyDescent="0.35">
      <c r="A37" t="s">
        <v>176</v>
      </c>
      <c r="B37" t="s">
        <v>182</v>
      </c>
      <c r="C37">
        <v>1</v>
      </c>
    </row>
    <row r="38" spans="1:3" x14ac:dyDescent="0.35">
      <c r="A38" t="s">
        <v>176</v>
      </c>
      <c r="B38" t="s">
        <v>94</v>
      </c>
      <c r="C38">
        <v>1</v>
      </c>
    </row>
    <row r="39" spans="1:3" x14ac:dyDescent="0.35">
      <c r="A39" t="s">
        <v>176</v>
      </c>
      <c r="B39" t="s">
        <v>159</v>
      </c>
      <c r="C39">
        <v>1</v>
      </c>
    </row>
    <row r="40" spans="1:3" x14ac:dyDescent="0.35">
      <c r="A40" t="s">
        <v>179</v>
      </c>
      <c r="B40" t="s">
        <v>180</v>
      </c>
      <c r="C40">
        <v>1</v>
      </c>
    </row>
    <row r="41" spans="1:3" x14ac:dyDescent="0.35">
      <c r="A41" t="s">
        <v>178</v>
      </c>
      <c r="B41" t="s">
        <v>178</v>
      </c>
      <c r="C41">
        <v>1</v>
      </c>
    </row>
    <row r="42" spans="1:3" x14ac:dyDescent="0.35">
      <c r="A42" t="s">
        <v>174</v>
      </c>
      <c r="B42" t="s">
        <v>175</v>
      </c>
      <c r="C42">
        <v>1</v>
      </c>
    </row>
    <row r="43" spans="1:3" x14ac:dyDescent="0.35">
      <c r="A43" t="s">
        <v>163</v>
      </c>
      <c r="B43" t="s">
        <v>164</v>
      </c>
      <c r="C43">
        <v>1</v>
      </c>
    </row>
    <row r="44" spans="1:3" x14ac:dyDescent="0.35">
      <c r="A44" t="s">
        <v>163</v>
      </c>
      <c r="B44" t="s">
        <v>173</v>
      </c>
      <c r="C44">
        <v>1</v>
      </c>
    </row>
    <row r="45" spans="1:3" x14ac:dyDescent="0.35">
      <c r="A45" t="s">
        <v>168</v>
      </c>
      <c r="B45" t="s">
        <v>169</v>
      </c>
      <c r="C45">
        <v>1</v>
      </c>
    </row>
    <row r="46" spans="1:3" x14ac:dyDescent="0.35">
      <c r="A46" t="s">
        <v>168</v>
      </c>
      <c r="B46" t="s">
        <v>170</v>
      </c>
      <c r="C46">
        <v>1</v>
      </c>
    </row>
    <row r="47" spans="1:3" x14ac:dyDescent="0.35">
      <c r="A47" t="s">
        <v>168</v>
      </c>
      <c r="B47" t="s">
        <v>171</v>
      </c>
      <c r="C47">
        <v>1</v>
      </c>
    </row>
    <row r="48" spans="1:3" x14ac:dyDescent="0.35">
      <c r="A48" t="s">
        <v>168</v>
      </c>
      <c r="B48" t="s">
        <v>172</v>
      </c>
      <c r="C48">
        <v>1</v>
      </c>
    </row>
    <row r="49" spans="1:3" x14ac:dyDescent="0.35">
      <c r="A49" t="s">
        <v>166</v>
      </c>
      <c r="B49" t="s">
        <v>167</v>
      </c>
      <c r="C49">
        <v>1</v>
      </c>
    </row>
    <row r="50" spans="1:3" x14ac:dyDescent="0.35">
      <c r="A50" t="s">
        <v>129</v>
      </c>
      <c r="B50" t="s">
        <v>130</v>
      </c>
      <c r="C50">
        <v>1</v>
      </c>
    </row>
    <row r="51" spans="1:3" x14ac:dyDescent="0.35">
      <c r="A51" t="s">
        <v>129</v>
      </c>
      <c r="B51" t="s">
        <v>165</v>
      </c>
      <c r="C51">
        <v>1</v>
      </c>
    </row>
    <row r="52" spans="1:3" x14ac:dyDescent="0.35">
      <c r="A52" t="s">
        <v>131</v>
      </c>
      <c r="B52" t="s">
        <v>131</v>
      </c>
      <c r="C52">
        <v>1</v>
      </c>
    </row>
    <row r="53" spans="1:3" x14ac:dyDescent="0.35">
      <c r="A53" t="s">
        <v>128</v>
      </c>
      <c r="B53" t="s">
        <v>128</v>
      </c>
      <c r="C53">
        <v>1</v>
      </c>
    </row>
    <row r="54" spans="1:3" x14ac:dyDescent="0.35">
      <c r="A54" t="s">
        <v>100</v>
      </c>
      <c r="B54" t="s">
        <v>34</v>
      </c>
      <c r="C54">
        <v>1</v>
      </c>
    </row>
    <row r="55" spans="1:3" x14ac:dyDescent="0.35">
      <c r="A55" t="s">
        <v>93</v>
      </c>
      <c r="B55" t="s">
        <v>98</v>
      </c>
      <c r="C55">
        <v>1</v>
      </c>
    </row>
    <row r="56" spans="1:3" x14ac:dyDescent="0.35">
      <c r="A56" t="s">
        <v>93</v>
      </c>
      <c r="B56" t="s">
        <v>99</v>
      </c>
      <c r="C56">
        <v>1</v>
      </c>
    </row>
    <row r="57" spans="1:3" x14ac:dyDescent="0.35">
      <c r="A57" t="s">
        <v>96</v>
      </c>
      <c r="B57" t="s">
        <v>97</v>
      </c>
      <c r="C57">
        <v>1</v>
      </c>
    </row>
    <row r="58" spans="1:3" x14ac:dyDescent="0.35">
      <c r="A58" t="s">
        <v>94</v>
      </c>
      <c r="B58" t="s">
        <v>95</v>
      </c>
      <c r="C58">
        <v>1</v>
      </c>
    </row>
    <row r="59" spans="1:3" x14ac:dyDescent="0.35">
      <c r="A59" t="s">
        <v>49</v>
      </c>
      <c r="B59" t="s">
        <v>93</v>
      </c>
      <c r="C59">
        <v>1</v>
      </c>
    </row>
    <row r="60" spans="1:3" x14ac:dyDescent="0.35">
      <c r="A60" t="s">
        <v>91</v>
      </c>
      <c r="B60" t="s">
        <v>92</v>
      </c>
      <c r="C60">
        <v>1</v>
      </c>
    </row>
    <row r="61" spans="1:3" x14ac:dyDescent="0.35">
      <c r="A61" t="s">
        <v>101</v>
      </c>
      <c r="B61" t="s">
        <v>102</v>
      </c>
      <c r="C61">
        <v>1</v>
      </c>
    </row>
    <row r="62" spans="1:3" x14ac:dyDescent="0.35">
      <c r="A62" t="s">
        <v>87</v>
      </c>
      <c r="B62" t="s">
        <v>88</v>
      </c>
      <c r="C62">
        <v>1</v>
      </c>
    </row>
    <row r="63" spans="1:3" x14ac:dyDescent="0.35">
      <c r="A63" t="s">
        <v>48</v>
      </c>
      <c r="B63" t="s">
        <v>78</v>
      </c>
      <c r="C63">
        <v>1</v>
      </c>
    </row>
    <row r="64" spans="1:3" x14ac:dyDescent="0.35">
      <c r="A64" t="s">
        <v>40</v>
      </c>
      <c r="B64" t="s">
        <v>84</v>
      </c>
      <c r="C64">
        <v>1</v>
      </c>
    </row>
    <row r="65" spans="1:3" x14ac:dyDescent="0.35">
      <c r="A65" t="s">
        <v>82</v>
      </c>
      <c r="B65" t="s">
        <v>83</v>
      </c>
      <c r="C65">
        <v>1</v>
      </c>
    </row>
    <row r="66" spans="1:3" x14ac:dyDescent="0.35">
      <c r="A66" t="s">
        <v>81</v>
      </c>
      <c r="B66" t="s">
        <v>81</v>
      </c>
      <c r="C66">
        <v>1</v>
      </c>
    </row>
    <row r="67" spans="1:3" x14ac:dyDescent="0.35">
      <c r="A67" t="s">
        <v>79</v>
      </c>
      <c r="B67" t="s">
        <v>80</v>
      </c>
      <c r="C67">
        <v>1</v>
      </c>
    </row>
    <row r="68" spans="1:3" x14ac:dyDescent="0.35">
      <c r="A68" t="s">
        <v>89</v>
      </c>
      <c r="B68" t="s">
        <v>90</v>
      </c>
      <c r="C68">
        <v>1</v>
      </c>
    </row>
    <row r="69" spans="1:3" x14ac:dyDescent="0.35">
      <c r="A69" t="s">
        <v>104</v>
      </c>
      <c r="B69" t="s">
        <v>104</v>
      </c>
      <c r="C69">
        <v>1</v>
      </c>
    </row>
    <row r="70" spans="1:3" x14ac:dyDescent="0.35">
      <c r="A70" t="s">
        <v>105</v>
      </c>
      <c r="B70" t="s">
        <v>106</v>
      </c>
      <c r="C70">
        <v>1</v>
      </c>
    </row>
    <row r="71" spans="1:3" x14ac:dyDescent="0.35">
      <c r="A71" t="s">
        <v>126</v>
      </c>
      <c r="B71" t="s">
        <v>127</v>
      </c>
      <c r="C71">
        <v>1</v>
      </c>
    </row>
    <row r="72" spans="1:3" x14ac:dyDescent="0.35">
      <c r="A72" t="s">
        <v>66</v>
      </c>
      <c r="B72" t="s">
        <v>103</v>
      </c>
      <c r="C72">
        <v>1</v>
      </c>
    </row>
    <row r="73" spans="1:3" x14ac:dyDescent="0.35">
      <c r="A73" t="s">
        <v>66</v>
      </c>
      <c r="B73" t="s">
        <v>125</v>
      </c>
      <c r="C73">
        <v>1</v>
      </c>
    </row>
    <row r="74" spans="1:3" x14ac:dyDescent="0.35">
      <c r="A74" t="s">
        <v>123</v>
      </c>
      <c r="B74" t="s">
        <v>123</v>
      </c>
      <c r="C74">
        <v>1</v>
      </c>
    </row>
    <row r="75" spans="1:3" x14ac:dyDescent="0.35">
      <c r="A75" t="s">
        <v>123</v>
      </c>
      <c r="B75" t="s">
        <v>124</v>
      </c>
      <c r="C75">
        <v>1</v>
      </c>
    </row>
    <row r="76" spans="1:3" x14ac:dyDescent="0.35">
      <c r="A76" t="s">
        <v>121</v>
      </c>
      <c r="B76" t="s">
        <v>122</v>
      </c>
      <c r="C76">
        <v>1</v>
      </c>
    </row>
    <row r="77" spans="1:3" x14ac:dyDescent="0.35">
      <c r="A77" t="s">
        <v>120</v>
      </c>
      <c r="B77" t="s">
        <v>120</v>
      </c>
      <c r="C77">
        <v>1</v>
      </c>
    </row>
    <row r="78" spans="1:3" x14ac:dyDescent="0.35">
      <c r="A78" t="s">
        <v>118</v>
      </c>
      <c r="B78" t="s">
        <v>119</v>
      </c>
      <c r="C78">
        <v>1</v>
      </c>
    </row>
    <row r="79" spans="1:3" x14ac:dyDescent="0.35">
      <c r="A79" t="s">
        <v>116</v>
      </c>
      <c r="B79" t="s">
        <v>117</v>
      </c>
      <c r="C79">
        <v>1</v>
      </c>
    </row>
    <row r="80" spans="1:3" x14ac:dyDescent="0.35">
      <c r="A80" t="s">
        <v>114</v>
      </c>
      <c r="B80" t="s">
        <v>115</v>
      </c>
      <c r="C80">
        <v>1</v>
      </c>
    </row>
    <row r="81" spans="1:3" x14ac:dyDescent="0.35">
      <c r="A81" t="s">
        <v>113</v>
      </c>
      <c r="B81" t="s">
        <v>113</v>
      </c>
      <c r="C81">
        <v>1</v>
      </c>
    </row>
    <row r="82" spans="1:3" x14ac:dyDescent="0.35">
      <c r="A82" t="s">
        <v>110</v>
      </c>
      <c r="B82" t="s">
        <v>111</v>
      </c>
      <c r="C82">
        <v>1</v>
      </c>
    </row>
    <row r="83" spans="1:3" x14ac:dyDescent="0.35">
      <c r="A83" t="s">
        <v>110</v>
      </c>
      <c r="B83" t="s">
        <v>112</v>
      </c>
      <c r="C83">
        <v>1</v>
      </c>
    </row>
    <row r="84" spans="1:3" x14ac:dyDescent="0.35">
      <c r="A84" t="s">
        <v>70</v>
      </c>
      <c r="B84" t="s">
        <v>109</v>
      </c>
      <c r="C84">
        <v>1</v>
      </c>
    </row>
    <row r="85" spans="1:3" x14ac:dyDescent="0.35">
      <c r="A85" t="s">
        <v>24</v>
      </c>
      <c r="B85" t="s">
        <v>107</v>
      </c>
      <c r="C85">
        <v>1</v>
      </c>
    </row>
    <row r="86" spans="1:3" x14ac:dyDescent="0.35">
      <c r="A86" t="s">
        <v>24</v>
      </c>
      <c r="B86" t="s">
        <v>108</v>
      </c>
      <c r="C86">
        <v>1</v>
      </c>
    </row>
    <row r="87" spans="1:3" x14ac:dyDescent="0.35">
      <c r="A87" t="s">
        <v>183</v>
      </c>
      <c r="B87" t="s">
        <v>184</v>
      </c>
      <c r="C87">
        <v>1</v>
      </c>
    </row>
    <row r="88" spans="1:3" x14ac:dyDescent="0.35">
      <c r="C88">
        <f>SUM(C2:C87)</f>
        <v>109</v>
      </c>
    </row>
  </sheetData>
  <sortState xmlns:xlrd2="http://schemas.microsoft.com/office/spreadsheetml/2017/richdata2" ref="A2:C87">
    <sortCondition descending="1" ref="C2:C87"/>
    <sortCondition ref="A2:A87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M19" sqref="M19"/>
    </sheetView>
  </sheetViews>
  <sheetFormatPr defaultRowHeight="14.5" x14ac:dyDescent="0.35"/>
  <cols>
    <col min="1" max="1" width="11.81640625" bestFit="1" customWidth="1"/>
    <col min="2" max="2" width="4.90625" bestFit="1" customWidth="1"/>
    <col min="3" max="3" width="5.26953125" bestFit="1" customWidth="1"/>
    <col min="4" max="4" width="9" bestFit="1" customWidth="1"/>
    <col min="5" max="5" width="12.6328125" bestFit="1" customWidth="1"/>
  </cols>
  <sheetData>
    <row r="1" spans="1:5" x14ac:dyDescent="0.35">
      <c r="A1" s="1" t="s">
        <v>185</v>
      </c>
      <c r="B1" s="1" t="s">
        <v>53</v>
      </c>
      <c r="C1" s="1" t="s">
        <v>208</v>
      </c>
      <c r="D1" s="1" t="s">
        <v>54</v>
      </c>
      <c r="E1" s="1" t="s">
        <v>55</v>
      </c>
    </row>
    <row r="2" spans="1:5" x14ac:dyDescent="0.35">
      <c r="A2" t="b">
        <v>0</v>
      </c>
      <c r="B2">
        <v>1534</v>
      </c>
      <c r="C2" s="2">
        <f>B2/B$4</f>
        <v>0.66840958605664491</v>
      </c>
      <c r="D2">
        <v>80</v>
      </c>
      <c r="E2" s="4">
        <v>5.215123859191656E-2</v>
      </c>
    </row>
    <row r="3" spans="1:5" x14ac:dyDescent="0.35">
      <c r="A3" t="b">
        <v>1</v>
      </c>
      <c r="B3">
        <v>761</v>
      </c>
      <c r="C3" s="2">
        <f>B3/B$4</f>
        <v>0.33159041394335514</v>
      </c>
      <c r="D3">
        <v>51</v>
      </c>
      <c r="E3" s="4">
        <v>6.7017082785808146E-2</v>
      </c>
    </row>
    <row r="4" spans="1:5" s="5" customFormat="1" x14ac:dyDescent="0.35">
      <c r="A4" s="7" t="s">
        <v>207</v>
      </c>
      <c r="B4" s="5">
        <f>SUM(B2:B3)</f>
        <v>2295</v>
      </c>
      <c r="C4" s="8">
        <f>B4/B$4</f>
        <v>1</v>
      </c>
      <c r="D4" s="5">
        <f>SUM(D2:D3)</f>
        <v>131</v>
      </c>
      <c r="E4" s="6">
        <f>D4/B4</f>
        <v>5.7080610021786493E-2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4" sqref="G4"/>
    </sheetView>
  </sheetViews>
  <sheetFormatPr defaultRowHeight="14.5" x14ac:dyDescent="0.35"/>
  <cols>
    <col min="1" max="1" width="13.36328125" bestFit="1" customWidth="1"/>
    <col min="2" max="2" width="4.90625" bestFit="1" customWidth="1"/>
    <col min="3" max="3" width="13.1796875" bestFit="1" customWidth="1"/>
    <col min="4" max="4" width="17.7265625" bestFit="1" customWidth="1"/>
    <col min="5" max="5" width="9" customWidth="1"/>
  </cols>
  <sheetData>
    <row r="1" spans="1:4" x14ac:dyDescent="0.35">
      <c r="A1" s="1" t="s">
        <v>68</v>
      </c>
      <c r="B1" s="1" t="s">
        <v>53</v>
      </c>
      <c r="C1" s="1" t="s">
        <v>186</v>
      </c>
      <c r="D1" s="1" t="s">
        <v>12</v>
      </c>
    </row>
    <row r="2" spans="1:4" x14ac:dyDescent="0.35">
      <c r="A2" t="s">
        <v>187</v>
      </c>
      <c r="B2">
        <v>6</v>
      </c>
      <c r="C2">
        <v>0</v>
      </c>
      <c r="D2" s="4">
        <v>0</v>
      </c>
    </row>
    <row r="3" spans="1:4" x14ac:dyDescent="0.35">
      <c r="A3" t="s">
        <v>188</v>
      </c>
      <c r="B3">
        <v>58</v>
      </c>
      <c r="C3">
        <v>1</v>
      </c>
      <c r="D3" s="4">
        <v>1.7241379310344831E-2</v>
      </c>
    </row>
    <row r="4" spans="1:4" x14ac:dyDescent="0.35">
      <c r="A4" t="s">
        <v>189</v>
      </c>
      <c r="B4">
        <v>70</v>
      </c>
      <c r="C4">
        <v>3</v>
      </c>
      <c r="D4" s="4">
        <v>4.2857142857142858E-2</v>
      </c>
    </row>
    <row r="5" spans="1:4" x14ac:dyDescent="0.35">
      <c r="A5" t="s">
        <v>190</v>
      </c>
      <c r="B5">
        <v>184</v>
      </c>
      <c r="C5">
        <v>11</v>
      </c>
      <c r="D5" s="4">
        <v>5.9782608695652183E-2</v>
      </c>
    </row>
    <row r="6" spans="1:4" x14ac:dyDescent="0.35">
      <c r="A6" t="s">
        <v>191</v>
      </c>
      <c r="B6">
        <v>60</v>
      </c>
      <c r="C6">
        <v>2</v>
      </c>
      <c r="D6" s="4">
        <v>3.3333333333333333E-2</v>
      </c>
    </row>
    <row r="7" spans="1:4" x14ac:dyDescent="0.35">
      <c r="A7" t="s">
        <v>192</v>
      </c>
      <c r="B7">
        <v>178</v>
      </c>
      <c r="C7">
        <v>12</v>
      </c>
      <c r="D7" s="4">
        <v>6.741573033707865E-2</v>
      </c>
    </row>
    <row r="8" spans="1:4" x14ac:dyDescent="0.35">
      <c r="A8" t="s">
        <v>193</v>
      </c>
      <c r="B8">
        <v>34</v>
      </c>
      <c r="C8">
        <v>4</v>
      </c>
      <c r="D8" s="4">
        <v>0.1176470588235294</v>
      </c>
    </row>
    <row r="9" spans="1:4" x14ac:dyDescent="0.35">
      <c r="A9" t="s">
        <v>194</v>
      </c>
      <c r="B9">
        <v>53</v>
      </c>
      <c r="C9">
        <v>3</v>
      </c>
      <c r="D9" s="4">
        <v>5.6603773584905662E-2</v>
      </c>
    </row>
    <row r="10" spans="1:4" x14ac:dyDescent="0.35">
      <c r="A10" t="s">
        <v>195</v>
      </c>
      <c r="B10">
        <v>7</v>
      </c>
      <c r="C10">
        <v>0</v>
      </c>
      <c r="D10" s="4">
        <v>0</v>
      </c>
    </row>
    <row r="11" spans="1:4" x14ac:dyDescent="0.35">
      <c r="A11" t="s">
        <v>196</v>
      </c>
      <c r="B11">
        <v>3</v>
      </c>
      <c r="C11">
        <v>0</v>
      </c>
      <c r="D11" s="4">
        <v>0</v>
      </c>
    </row>
    <row r="12" spans="1:4" x14ac:dyDescent="0.35">
      <c r="A12" t="s">
        <v>197</v>
      </c>
      <c r="B12">
        <v>69</v>
      </c>
      <c r="C12">
        <v>0</v>
      </c>
      <c r="D12" s="4">
        <v>0</v>
      </c>
    </row>
    <row r="13" spans="1:4" x14ac:dyDescent="0.35">
      <c r="A13" t="s">
        <v>198</v>
      </c>
      <c r="B13">
        <v>156</v>
      </c>
      <c r="C13">
        <v>7</v>
      </c>
      <c r="D13" s="4">
        <v>4.4871794871794872E-2</v>
      </c>
    </row>
    <row r="14" spans="1:4" x14ac:dyDescent="0.35">
      <c r="A14" t="s">
        <v>199</v>
      </c>
      <c r="B14">
        <v>1064</v>
      </c>
      <c r="C14">
        <v>79</v>
      </c>
      <c r="D14" s="4">
        <v>7.4248120300751883E-2</v>
      </c>
    </row>
    <row r="15" spans="1:4" x14ac:dyDescent="0.35">
      <c r="A15" t="s">
        <v>200</v>
      </c>
      <c r="B15">
        <v>28</v>
      </c>
      <c r="C15">
        <v>1</v>
      </c>
      <c r="D15" s="4">
        <v>3.5714285714285712E-2</v>
      </c>
    </row>
    <row r="16" spans="1:4" x14ac:dyDescent="0.35">
      <c r="A16" t="s">
        <v>201</v>
      </c>
      <c r="B16">
        <v>84</v>
      </c>
      <c r="C16">
        <v>4</v>
      </c>
      <c r="D16" s="4">
        <v>4.7619047619047623E-2</v>
      </c>
    </row>
    <row r="17" spans="1:5" x14ac:dyDescent="0.35">
      <c r="A17" t="s">
        <v>202</v>
      </c>
      <c r="B17">
        <v>166</v>
      </c>
      <c r="C17">
        <v>5</v>
      </c>
      <c r="D17" s="4">
        <v>3.012048192771084E-2</v>
      </c>
    </row>
    <row r="18" spans="1:5" x14ac:dyDescent="0.35">
      <c r="A18" t="s">
        <v>203</v>
      </c>
      <c r="B18">
        <v>44</v>
      </c>
      <c r="C18">
        <v>0</v>
      </c>
      <c r="D18" s="4">
        <v>0</v>
      </c>
    </row>
    <row r="19" spans="1:5" x14ac:dyDescent="0.35">
      <c r="A19" t="s">
        <v>204</v>
      </c>
      <c r="B19">
        <v>31</v>
      </c>
      <c r="C19">
        <v>1</v>
      </c>
      <c r="D19" s="4">
        <v>3.2258064516129031E-2</v>
      </c>
    </row>
    <row r="20" spans="1:5" x14ac:dyDescent="0.35">
      <c r="A20" s="5" t="s">
        <v>207</v>
      </c>
      <c r="B20" s="5">
        <f>SUM(B2:B19)</f>
        <v>2295</v>
      </c>
      <c r="C20" s="5">
        <f>SUM(C2:C19)</f>
        <v>133</v>
      </c>
      <c r="D20" s="6">
        <f>C20/B20</f>
        <v>5.7952069716775599E-2</v>
      </c>
      <c r="E20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selection activeCell="L17" sqref="L17"/>
    </sheetView>
  </sheetViews>
  <sheetFormatPr defaultRowHeight="14.5" x14ac:dyDescent="0.35"/>
  <cols>
    <col min="1" max="1" width="13.36328125" bestFit="1" customWidth="1"/>
    <col min="2" max="2" width="4.90625" bestFit="1" customWidth="1"/>
    <col min="3" max="3" width="9" bestFit="1" customWidth="1"/>
    <col min="4" max="4" width="12.6328125" bestFit="1" customWidth="1"/>
  </cols>
  <sheetData>
    <row r="1" spans="1:4" x14ac:dyDescent="0.35">
      <c r="A1" s="1" t="s">
        <v>68</v>
      </c>
      <c r="B1" s="1" t="s">
        <v>53</v>
      </c>
      <c r="C1" s="1" t="s">
        <v>54</v>
      </c>
      <c r="D1" s="1" t="s">
        <v>55</v>
      </c>
    </row>
    <row r="2" spans="1:4" x14ac:dyDescent="0.35">
      <c r="A2" t="s">
        <v>187</v>
      </c>
      <c r="B2">
        <v>6</v>
      </c>
      <c r="C2">
        <v>0</v>
      </c>
      <c r="D2" s="4">
        <v>0</v>
      </c>
    </row>
    <row r="3" spans="1:4" x14ac:dyDescent="0.35">
      <c r="A3" t="s">
        <v>188</v>
      </c>
      <c r="B3">
        <v>58</v>
      </c>
      <c r="C3">
        <v>4</v>
      </c>
      <c r="D3" s="4">
        <v>6.8965517241379309E-2</v>
      </c>
    </row>
    <row r="4" spans="1:4" x14ac:dyDescent="0.35">
      <c r="A4" t="s">
        <v>189</v>
      </c>
      <c r="B4">
        <v>70</v>
      </c>
      <c r="C4">
        <v>3</v>
      </c>
      <c r="D4" s="4">
        <v>4.2857142857142858E-2</v>
      </c>
    </row>
    <row r="5" spans="1:4" x14ac:dyDescent="0.35">
      <c r="A5" t="s">
        <v>190</v>
      </c>
      <c r="B5">
        <v>184</v>
      </c>
      <c r="C5">
        <v>9</v>
      </c>
      <c r="D5" s="4">
        <v>4.8913043478260872E-2</v>
      </c>
    </row>
    <row r="6" spans="1:4" x14ac:dyDescent="0.35">
      <c r="A6" t="s">
        <v>191</v>
      </c>
      <c r="B6">
        <v>60</v>
      </c>
      <c r="C6">
        <v>3</v>
      </c>
      <c r="D6" s="4">
        <v>0.05</v>
      </c>
    </row>
    <row r="7" spans="1:4" x14ac:dyDescent="0.35">
      <c r="A7" t="s">
        <v>192</v>
      </c>
      <c r="B7">
        <v>178</v>
      </c>
      <c r="C7">
        <v>15</v>
      </c>
      <c r="D7" s="4">
        <v>8.4269662921348312E-2</v>
      </c>
    </row>
    <row r="8" spans="1:4" x14ac:dyDescent="0.35">
      <c r="A8" t="s">
        <v>193</v>
      </c>
      <c r="B8">
        <v>34</v>
      </c>
      <c r="C8">
        <v>1</v>
      </c>
      <c r="D8" s="4">
        <v>2.9411764705882349E-2</v>
      </c>
    </row>
    <row r="9" spans="1:4" x14ac:dyDescent="0.35">
      <c r="A9" t="s">
        <v>194</v>
      </c>
      <c r="B9">
        <v>53</v>
      </c>
      <c r="C9">
        <v>5</v>
      </c>
      <c r="D9" s="4">
        <v>9.4339622641509441E-2</v>
      </c>
    </row>
    <row r="10" spans="1:4" x14ac:dyDescent="0.35">
      <c r="A10" t="s">
        <v>195</v>
      </c>
      <c r="B10">
        <v>7</v>
      </c>
      <c r="C10">
        <v>0</v>
      </c>
      <c r="D10" s="4">
        <v>0</v>
      </c>
    </row>
    <row r="11" spans="1:4" x14ac:dyDescent="0.35">
      <c r="A11" t="s">
        <v>196</v>
      </c>
      <c r="B11">
        <v>3</v>
      </c>
      <c r="C11">
        <v>0</v>
      </c>
      <c r="D11" s="4">
        <v>0</v>
      </c>
    </row>
    <row r="12" spans="1:4" x14ac:dyDescent="0.35">
      <c r="A12" t="s">
        <v>197</v>
      </c>
      <c r="B12">
        <v>69</v>
      </c>
      <c r="C12">
        <v>2</v>
      </c>
      <c r="D12" s="4">
        <v>2.8985507246376808E-2</v>
      </c>
    </row>
    <row r="13" spans="1:4" x14ac:dyDescent="0.35">
      <c r="A13" t="s">
        <v>198</v>
      </c>
      <c r="B13">
        <v>156</v>
      </c>
      <c r="C13">
        <v>10</v>
      </c>
      <c r="D13" s="4">
        <v>6.4102564102564097E-2</v>
      </c>
    </row>
    <row r="14" spans="1:4" x14ac:dyDescent="0.35">
      <c r="A14" t="s">
        <v>199</v>
      </c>
      <c r="B14">
        <v>1064</v>
      </c>
      <c r="C14">
        <v>56</v>
      </c>
      <c r="D14" s="4">
        <v>5.2631578947368418E-2</v>
      </c>
    </row>
    <row r="15" spans="1:4" x14ac:dyDescent="0.35">
      <c r="A15" t="s">
        <v>200</v>
      </c>
      <c r="B15">
        <v>28</v>
      </c>
      <c r="C15">
        <v>1</v>
      </c>
      <c r="D15" s="4">
        <v>3.5714285714285712E-2</v>
      </c>
    </row>
    <row r="16" spans="1:4" x14ac:dyDescent="0.35">
      <c r="A16" t="s">
        <v>201</v>
      </c>
      <c r="B16">
        <v>84</v>
      </c>
      <c r="C16">
        <v>4</v>
      </c>
      <c r="D16" s="4">
        <v>4.7619047619047623E-2</v>
      </c>
    </row>
    <row r="17" spans="1:4" x14ac:dyDescent="0.35">
      <c r="A17" t="s">
        <v>202</v>
      </c>
      <c r="B17">
        <v>166</v>
      </c>
      <c r="C17">
        <v>13</v>
      </c>
      <c r="D17" s="4">
        <v>7.8313253012048195E-2</v>
      </c>
    </row>
    <row r="18" spans="1:4" x14ac:dyDescent="0.35">
      <c r="A18" t="s">
        <v>203</v>
      </c>
      <c r="B18">
        <v>44</v>
      </c>
      <c r="C18">
        <v>3</v>
      </c>
      <c r="D18" s="4">
        <v>6.8181818181818177E-2</v>
      </c>
    </row>
    <row r="19" spans="1:4" x14ac:dyDescent="0.35">
      <c r="A19" t="s">
        <v>204</v>
      </c>
      <c r="B19">
        <v>31</v>
      </c>
      <c r="C19">
        <v>2</v>
      </c>
      <c r="D19" s="4">
        <v>6.4516129032258063E-2</v>
      </c>
    </row>
    <row r="20" spans="1:4" x14ac:dyDescent="0.35">
      <c r="B20">
        <f>SUM(B2:B19)</f>
        <v>2295</v>
      </c>
      <c r="C20">
        <f t="shared" ref="C20" si="0">SUM(C2:C19)</f>
        <v>131</v>
      </c>
      <c r="D20" s="4">
        <f>C20/B20</f>
        <v>5.7080610021786493E-2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activeCell="O25" sqref="O25"/>
    </sheetView>
  </sheetViews>
  <sheetFormatPr defaultRowHeight="14.5" x14ac:dyDescent="0.35"/>
  <cols>
    <col min="1" max="1" width="18.9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205</v>
      </c>
      <c r="B2">
        <v>1086</v>
      </c>
    </row>
    <row r="3" spans="1:2" x14ac:dyDescent="0.35">
      <c r="A3" t="s">
        <v>206</v>
      </c>
      <c r="B3">
        <v>0.47320261437908501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0"/>
  <sheetViews>
    <sheetView workbookViewId="0">
      <pane ySplit="1" topLeftCell="A4" activePane="bottomLeft" state="frozen"/>
      <selection pane="bottomLeft" activeCell="T24" sqref="T24"/>
    </sheetView>
  </sheetViews>
  <sheetFormatPr defaultRowHeight="14.5" x14ac:dyDescent="0.35"/>
  <cols>
    <col min="1" max="1" width="13.36328125" bestFit="1" customWidth="1"/>
    <col min="2" max="2" width="18.90625" bestFit="1" customWidth="1"/>
  </cols>
  <sheetData>
    <row r="1" spans="1:2" x14ac:dyDescent="0.35">
      <c r="A1" s="1" t="s">
        <v>13</v>
      </c>
      <c r="B1" s="1" t="s">
        <v>206</v>
      </c>
    </row>
    <row r="2" spans="1:2" x14ac:dyDescent="0.35">
      <c r="A2" t="s">
        <v>24</v>
      </c>
      <c r="B2" s="4">
        <v>1</v>
      </c>
    </row>
    <row r="3" spans="1:2" x14ac:dyDescent="0.35">
      <c r="A3" t="s">
        <v>33</v>
      </c>
      <c r="B3" s="4">
        <v>1</v>
      </c>
    </row>
    <row r="4" spans="1:2" x14ac:dyDescent="0.35">
      <c r="A4" t="s">
        <v>19</v>
      </c>
      <c r="B4" s="4">
        <v>1</v>
      </c>
    </row>
    <row r="5" spans="1:2" x14ac:dyDescent="0.35">
      <c r="A5" t="s">
        <v>48</v>
      </c>
      <c r="B5" s="4">
        <v>1</v>
      </c>
    </row>
    <row r="6" spans="1:2" x14ac:dyDescent="0.35">
      <c r="A6" t="s">
        <v>40</v>
      </c>
      <c r="B6" s="4">
        <v>1</v>
      </c>
    </row>
    <row r="7" spans="1:2" x14ac:dyDescent="0.35">
      <c r="A7" t="s">
        <v>47</v>
      </c>
      <c r="B7" s="4">
        <v>1</v>
      </c>
    </row>
    <row r="8" spans="1:2" x14ac:dyDescent="0.35">
      <c r="A8" t="s">
        <v>46</v>
      </c>
      <c r="B8" s="4">
        <v>1</v>
      </c>
    </row>
    <row r="9" spans="1:2" x14ac:dyDescent="0.35">
      <c r="A9" t="s">
        <v>49</v>
      </c>
      <c r="B9" s="4">
        <v>1</v>
      </c>
    </row>
    <row r="10" spans="1:2" x14ac:dyDescent="0.35">
      <c r="A10" t="s">
        <v>31</v>
      </c>
      <c r="B10" s="4">
        <v>1</v>
      </c>
    </row>
    <row r="11" spans="1:2" x14ac:dyDescent="0.35">
      <c r="A11" t="s">
        <v>17</v>
      </c>
      <c r="B11" s="4">
        <v>1</v>
      </c>
    </row>
    <row r="12" spans="1:2" x14ac:dyDescent="0.35">
      <c r="A12" t="s">
        <v>25</v>
      </c>
      <c r="B12" s="4">
        <v>1</v>
      </c>
    </row>
    <row r="13" spans="1:2" x14ac:dyDescent="0.35">
      <c r="A13" t="s">
        <v>42</v>
      </c>
      <c r="B13" s="4">
        <v>1</v>
      </c>
    </row>
    <row r="14" spans="1:2" x14ac:dyDescent="0.35">
      <c r="A14" t="s">
        <v>41</v>
      </c>
      <c r="B14" s="4">
        <v>1</v>
      </c>
    </row>
    <row r="15" spans="1:2" x14ac:dyDescent="0.35">
      <c r="A15" t="s">
        <v>30</v>
      </c>
      <c r="B15" s="4">
        <v>1</v>
      </c>
    </row>
    <row r="16" spans="1:2" x14ac:dyDescent="0.35">
      <c r="A16" t="s">
        <v>14</v>
      </c>
      <c r="B16" s="4">
        <v>0.84840055632823363</v>
      </c>
    </row>
    <row r="17" spans="1:2" x14ac:dyDescent="0.35">
      <c r="A17" t="s">
        <v>32</v>
      </c>
      <c r="B17" s="4">
        <v>0.83333333333333337</v>
      </c>
    </row>
    <row r="18" spans="1:2" x14ac:dyDescent="0.35">
      <c r="A18" t="s">
        <v>27</v>
      </c>
      <c r="B18" s="4">
        <v>0.76923076923076927</v>
      </c>
    </row>
    <row r="19" spans="1:2" x14ac:dyDescent="0.35">
      <c r="A19" t="s">
        <v>37</v>
      </c>
      <c r="B19" s="4">
        <v>0.75</v>
      </c>
    </row>
    <row r="20" spans="1:2" x14ac:dyDescent="0.35">
      <c r="A20" t="s">
        <v>36</v>
      </c>
      <c r="B20" s="4">
        <v>0.5</v>
      </c>
    </row>
    <row r="21" spans="1:2" x14ac:dyDescent="0.35">
      <c r="A21" t="s">
        <v>20</v>
      </c>
      <c r="B21" s="4">
        <v>0.22988505747126439</v>
      </c>
    </row>
    <row r="22" spans="1:2" x14ac:dyDescent="0.35">
      <c r="A22" t="s">
        <v>22</v>
      </c>
      <c r="B22" s="4">
        <v>0.17241379310344829</v>
      </c>
    </row>
    <row r="23" spans="1:2" x14ac:dyDescent="0.35">
      <c r="A23" t="s">
        <v>15</v>
      </c>
      <c r="B23" s="4">
        <v>0.14117647058823529</v>
      </c>
    </row>
    <row r="24" spans="1:2" x14ac:dyDescent="0.35">
      <c r="A24" t="s">
        <v>29</v>
      </c>
      <c r="B24" s="4">
        <v>0.1</v>
      </c>
    </row>
    <row r="25" spans="1:2" x14ac:dyDescent="0.35">
      <c r="A25" t="s">
        <v>26</v>
      </c>
      <c r="B25" s="4">
        <v>7.1428571428571425E-2</v>
      </c>
    </row>
    <row r="26" spans="1:2" x14ac:dyDescent="0.35">
      <c r="A26" t="s">
        <v>21</v>
      </c>
      <c r="B26" s="4">
        <v>4.1095890410958902E-2</v>
      </c>
    </row>
    <row r="27" spans="1:2" x14ac:dyDescent="0.35">
      <c r="A27" t="s">
        <v>16</v>
      </c>
      <c r="B27" s="4">
        <v>3.8348082595870213E-2</v>
      </c>
    </row>
    <row r="28" spans="1:2" x14ac:dyDescent="0.35">
      <c r="A28" t="s">
        <v>18</v>
      </c>
      <c r="B28" s="4">
        <v>1.8691588785046731E-2</v>
      </c>
    </row>
    <row r="29" spans="1:2" x14ac:dyDescent="0.35">
      <c r="A29" t="s">
        <v>23</v>
      </c>
      <c r="B29" s="4">
        <v>1.8518518518518521E-2</v>
      </c>
    </row>
    <row r="30" spans="1:2" x14ac:dyDescent="0.35">
      <c r="A30" t="s">
        <v>39</v>
      </c>
      <c r="B30" s="4">
        <v>0</v>
      </c>
    </row>
    <row r="31" spans="1:2" x14ac:dyDescent="0.35">
      <c r="A31" t="s">
        <v>44</v>
      </c>
      <c r="B31" s="4">
        <v>0</v>
      </c>
    </row>
    <row r="32" spans="1:2" x14ac:dyDescent="0.35">
      <c r="A32" t="s">
        <v>43</v>
      </c>
      <c r="B32" s="4">
        <v>0</v>
      </c>
    </row>
    <row r="33" spans="1:2" x14ac:dyDescent="0.35">
      <c r="A33" t="s">
        <v>52</v>
      </c>
      <c r="B33" s="4">
        <v>0</v>
      </c>
    </row>
    <row r="34" spans="1:2" x14ac:dyDescent="0.35">
      <c r="A34" t="s">
        <v>35</v>
      </c>
      <c r="B34" s="4">
        <v>0</v>
      </c>
    </row>
    <row r="35" spans="1:2" x14ac:dyDescent="0.35">
      <c r="A35" t="s">
        <v>28</v>
      </c>
      <c r="B35" s="4">
        <v>0</v>
      </c>
    </row>
    <row r="36" spans="1:2" x14ac:dyDescent="0.35">
      <c r="A36" t="s">
        <v>50</v>
      </c>
      <c r="B36" s="4">
        <v>0</v>
      </c>
    </row>
    <row r="37" spans="1:2" x14ac:dyDescent="0.35">
      <c r="A37" t="s">
        <v>51</v>
      </c>
      <c r="B37" s="4">
        <v>0</v>
      </c>
    </row>
    <row r="38" spans="1:2" x14ac:dyDescent="0.35">
      <c r="A38" t="s">
        <v>34</v>
      </c>
      <c r="B38" s="4">
        <v>0</v>
      </c>
    </row>
    <row r="39" spans="1:2" x14ac:dyDescent="0.35">
      <c r="A39" t="s">
        <v>45</v>
      </c>
      <c r="B39" s="4">
        <v>0</v>
      </c>
    </row>
    <row r="40" spans="1:2" x14ac:dyDescent="0.35">
      <c r="A40" t="s">
        <v>38</v>
      </c>
      <c r="B40" s="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>
      <selection activeCell="P19" sqref="P19"/>
    </sheetView>
  </sheetViews>
  <sheetFormatPr defaultRowHeight="14.5" x14ac:dyDescent="0.35"/>
  <cols>
    <col min="1" max="1" width="13.36328125" bestFit="1" customWidth="1"/>
    <col min="2" max="2" width="18.90625" bestFit="1" customWidth="1"/>
  </cols>
  <sheetData>
    <row r="1" spans="1:2" x14ac:dyDescent="0.35">
      <c r="A1" s="1" t="s">
        <v>68</v>
      </c>
      <c r="B1" s="1" t="s">
        <v>206</v>
      </c>
    </row>
    <row r="2" spans="1:2" x14ac:dyDescent="0.35">
      <c r="A2" t="s">
        <v>187</v>
      </c>
      <c r="B2" s="4">
        <v>0.66666666666666663</v>
      </c>
    </row>
    <row r="3" spans="1:2" x14ac:dyDescent="0.35">
      <c r="A3" t="s">
        <v>201</v>
      </c>
      <c r="B3" s="4">
        <v>0.66666666666666663</v>
      </c>
    </row>
    <row r="4" spans="1:2" x14ac:dyDescent="0.35">
      <c r="A4" t="s">
        <v>194</v>
      </c>
      <c r="B4" s="4">
        <v>0.60377358490566035</v>
      </c>
    </row>
    <row r="5" spans="1:2" x14ac:dyDescent="0.35">
      <c r="A5" t="s">
        <v>199</v>
      </c>
      <c r="B5" s="4">
        <v>0.52725563909774431</v>
      </c>
    </row>
    <row r="6" spans="1:2" x14ac:dyDescent="0.35">
      <c r="A6" t="s">
        <v>202</v>
      </c>
      <c r="B6" s="4">
        <v>0.48795180722891568</v>
      </c>
    </row>
    <row r="7" spans="1:2" x14ac:dyDescent="0.35">
      <c r="A7" t="s">
        <v>189</v>
      </c>
      <c r="B7" s="4">
        <v>0.45714285714285707</v>
      </c>
    </row>
    <row r="8" spans="1:2" x14ac:dyDescent="0.35">
      <c r="A8" t="s">
        <v>190</v>
      </c>
      <c r="B8" s="4">
        <v>0.45108695652173908</v>
      </c>
    </row>
    <row r="9" spans="1:2" x14ac:dyDescent="0.35">
      <c r="A9" t="s">
        <v>203</v>
      </c>
      <c r="B9" s="4">
        <v>0.40909090909090912</v>
      </c>
    </row>
    <row r="10" spans="1:2" x14ac:dyDescent="0.35">
      <c r="A10" t="s">
        <v>192</v>
      </c>
      <c r="B10" s="4">
        <v>0.38764044943820231</v>
      </c>
    </row>
    <row r="11" spans="1:2" x14ac:dyDescent="0.35">
      <c r="A11" t="s">
        <v>191</v>
      </c>
      <c r="B11" s="4">
        <v>0.38333333333333341</v>
      </c>
    </row>
    <row r="12" spans="1:2" x14ac:dyDescent="0.35">
      <c r="A12" t="s">
        <v>193</v>
      </c>
      <c r="B12" s="4">
        <v>0.38235294117647062</v>
      </c>
    </row>
    <row r="13" spans="1:2" x14ac:dyDescent="0.35">
      <c r="A13" t="s">
        <v>197</v>
      </c>
      <c r="B13" s="4">
        <v>0.34782608695652167</v>
      </c>
    </row>
    <row r="14" spans="1:2" x14ac:dyDescent="0.35">
      <c r="A14" t="s">
        <v>198</v>
      </c>
      <c r="B14" s="4">
        <v>0.33974358974358981</v>
      </c>
    </row>
    <row r="15" spans="1:2" x14ac:dyDescent="0.35">
      <c r="A15" t="s">
        <v>188</v>
      </c>
      <c r="B15" s="4">
        <v>0.32758620689655171</v>
      </c>
    </row>
    <row r="16" spans="1:2" x14ac:dyDescent="0.35">
      <c r="A16" t="s">
        <v>204</v>
      </c>
      <c r="B16" s="4">
        <v>0.32258064516129031</v>
      </c>
    </row>
    <row r="17" spans="1:2" x14ac:dyDescent="0.35">
      <c r="A17" t="s">
        <v>200</v>
      </c>
      <c r="B17" s="4">
        <v>0.25</v>
      </c>
    </row>
    <row r="18" spans="1:2" x14ac:dyDescent="0.35">
      <c r="A18" t="s">
        <v>195</v>
      </c>
      <c r="B18" s="4">
        <v>0.14285714285714279</v>
      </c>
    </row>
    <row r="19" spans="1:2" x14ac:dyDescent="0.35">
      <c r="A19" t="s">
        <v>196</v>
      </c>
      <c r="B1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GlobalSummary</vt:lpstr>
      <vt:lpstr>FinalFormatDistribution</vt:lpstr>
      <vt:lpstr>ProblemsByFinalFormat</vt:lpstr>
      <vt:lpstr>ProblemsByFinalFormatOrdered</vt:lpstr>
      <vt:lpstr>FormatTransitions</vt:lpstr>
      <vt:lpstr>KeywordSuggestions</vt:lpstr>
      <vt:lpstr>AbbrevGlobal</vt:lpstr>
      <vt:lpstr>AbbrevByArea</vt:lpstr>
      <vt:lpstr>ProblemsByArea</vt:lpstr>
      <vt:lpstr>NotesSummary</vt:lpstr>
      <vt:lpstr>NotesByFinalFormat</vt:lpstr>
      <vt:lpstr>NotesByArea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2025-12-13T07:32:02Z</dcterms:created>
  <dcterms:modified xsi:type="dcterms:W3CDTF">2026-01-28T07:21:31Z</dcterms:modified>
</cp:coreProperties>
</file>